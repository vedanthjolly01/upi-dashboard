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_Transactions" sheetId="1" state="visible" r:id="rId3"/>
    <sheet name="Annual_Summary" sheetId="2" state="visible" r:id="rId4"/>
    <sheet name="P2P_vs_P2M" sheetId="3" state="visible" r:id="rId5"/>
    <sheet name="App_Market_Share" sheetId="4" state="visible" r:id="rId6"/>
    <sheet name="Fraud_Security" sheetId="5" state="visible" r:id="rId7"/>
    <sheet name="State_Wise" sheetId="6" state="visible" r:id="rId8"/>
    <sheet name="Merchant_Categories" sheetId="7" state="visible" r:id="rId9"/>
    <sheet name="Global_Comparison" sheetId="8" state="visible" r:id="rId10"/>
    <sheet name="Demographics_Adoption" sheetId="9" state="visible" r:id="rId11"/>
    <sheet name="README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<sst xmlns="http://schemas.openxmlformats.org/spreadsheetml/2006/main" count="627" uniqueCount="324">
  <si>
    <t xml:space="preserve">Year</t>
  </si>
  <si>
    <t xml:space="preserve">Month</t>
  </si>
  <si>
    <t xml:space="preserve">Date</t>
  </si>
  <si>
    <t xml:space="preserve">Volume_Millions</t>
  </si>
  <si>
    <t xml:space="preserve">Value_Crore_INR</t>
  </si>
  <si>
    <t xml:space="preserve">Avg_Ticket_INR</t>
  </si>
  <si>
    <t xml:space="preserve">Member_Banks</t>
  </si>
  <si>
    <t xml:space="preserve">YoY_Vol_Growth_Pct</t>
  </si>
  <si>
    <t xml:space="preserve">YoY_Val_Growth_Pct</t>
  </si>
  <si>
    <t xml:space="preserve">Aug</t>
  </si>
  <si>
    <t xml:space="preserve">2016-08</t>
  </si>
  <si>
    <t xml:space="preserve">Sep</t>
  </si>
  <si>
    <t xml:space="preserve">2016-09</t>
  </si>
  <si>
    <t xml:space="preserve">Oct</t>
  </si>
  <si>
    <t xml:space="preserve">2016-10</t>
  </si>
  <si>
    <t xml:space="preserve">Nov</t>
  </si>
  <si>
    <t xml:space="preserve">2016-11</t>
  </si>
  <si>
    <t xml:space="preserve">Dec</t>
  </si>
  <si>
    <t xml:space="preserve">2016-12</t>
  </si>
  <si>
    <t xml:space="preserve">Jan</t>
  </si>
  <si>
    <t xml:space="preserve">2017-01</t>
  </si>
  <si>
    <t xml:space="preserve">Feb</t>
  </si>
  <si>
    <t xml:space="preserve">2017-02</t>
  </si>
  <si>
    <t xml:space="preserve">Mar</t>
  </si>
  <si>
    <t xml:space="preserve">2017-03</t>
  </si>
  <si>
    <t xml:space="preserve">Apr</t>
  </si>
  <si>
    <t xml:space="preserve">2017-04</t>
  </si>
  <si>
    <t xml:space="preserve">May</t>
  </si>
  <si>
    <t xml:space="preserve">2017-05</t>
  </si>
  <si>
    <t xml:space="preserve">Jun</t>
  </si>
  <si>
    <t xml:space="preserve">2017-06</t>
  </si>
  <si>
    <t xml:space="preserve">Jul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</si>
  <si>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</si>
  <si>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</si>
  <si>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</si>
  <si>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</si>
  <si>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</si>
  <si>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</si>
  <si>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</si>
  <si>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</si>
  <si>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</si>
  <si>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</si>
  <si>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</si>
  <si>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</si>
  <si>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</si>
  <si>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</si>
  <si>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</si>
  <si>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</si>
  <si>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</si>
  <si>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</si>
  <si>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</si>
  <si>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</si>
  <si>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</si>
  <si>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</si>
  <si>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</si>
  <si>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</si>
  <si>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</si>
  <si>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</si>
  <si>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</si>
  <si>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</si>
  <si>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</si>
  <si>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</si>
  <si>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</si>
  <si>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</si>
  <si>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</si>
  <si>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</si>
  <si>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</si>
  <si>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</si>
  <si>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</si>
  <si>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</si>
  <si>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</si>
  <si>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</si>
  <si>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</si>
  <si>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</si>
  <si>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</si>
  <si>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</si>
  <si>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</si>
  <si>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</si>
  <si>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</si>
  <si>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</si>
  <si>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</si>
  <si>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</si>
  <si>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</si>
  <si>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</si>
  <si>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</si>
  <si>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</si>
  <si>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</si>
  <si>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</si>
  <si>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</si>
  <si>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</si>
  <si>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</si>
  <si>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</si>
  <si>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</si>
  <si>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</si>
  <si>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</si>
  <si>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</si>
  <si>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</si>
  <si>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</si>
  <si>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</si>
  <si>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</si>
  <si>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</si>
  <si>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</si>
  <si>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</si>
  <si>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</si>
  <si>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</si>
  <si>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</si>
  <si>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</si>
  <si>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</si>
  <si>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</si>
  <si>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</si>
  <si>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</si>
  <si>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</si>
  <si>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</si>
  <si>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</si>
  <si>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</si>
  <si>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</si>
  <si>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</si>
  <si>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</si>
  <si>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</si>
  <si>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</si>
  <si>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</si>
  <si>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</si>
  <si>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</si>
  <si>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</si>
  <si>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</si>
  <si>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</si>
  <si>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</si>
  <si>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</si>
  <si>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</si>
  <si>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</si>
  <si>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</si>
  <si>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</si>
  <si>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</si>
  <si>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</si>
  <si>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Source: NPCI Official Product Statistics, RBI Annual Reports, Verified News Sources (2016-2025)</t>
  </si>
  <si>
    <t xml:space="preserve">Financial_Year</t>
  </si>
  <si>
    <t xml:space="preserve">Volume_Billions</t>
  </si>
  <si>
    <t xml:space="preserve">Value_Lakh_Crore_INR</t>
  </si>
  <si>
    <t xml:space="preserve">Active_Users_Millions</t>
  </si>
  <si>
    <t xml:space="preserve">Merchant_Points_Millions</t>
  </si>
  <si>
    <t xml:space="preserve">P2M_Share_Pct</t>
  </si>
  <si>
    <t xml:space="preserve">Share_Digital_Payments_Pct</t>
  </si>
  <si>
    <t xml:space="preserve">FY 2016-17</t>
  </si>
  <si>
    <t xml:space="preserve">FY 2017-18</t>
  </si>
  <si>
    <t xml:space="preserve">FY 2018-19</t>
  </si>
  <si>
    <t xml:space="preserve">FY 2019-20</t>
  </si>
  <si>
    <t xml:space="preserve">FY 2020-21</t>
  </si>
  <si>
    <t xml:space="preserve">FY 2021-22</t>
  </si>
  <si>
    <t xml:space="preserve">FY 2022-23</t>
  </si>
  <si>
    <t xml:space="preserve">FY 2023-24</t>
  </si>
  <si>
    <t xml:space="preserve">FY 2024-25</t>
  </si>
  <si>
    <t xml:space="preserve">FY 2025-26*</t>
  </si>
  <si>
    <t xml:space="preserve">Source: NPCI, RBI, Ministry of Finance, PwC India Reports. *FY 2025-26 = Jan-Dec 2025 calendar year data</t>
  </si>
  <si>
    <t xml:space="preserve">P2P_Volume_Millions</t>
  </si>
  <si>
    <t xml:space="preserve">P2M_Volume_Millions</t>
  </si>
  <si>
    <t xml:space="preserve">P2P_Value_Crore</t>
  </si>
  <si>
    <t xml:space="preserve">P2M_Value_Crore</t>
  </si>
  <si>
    <t xml:space="preserve">P2M_Vol_Share_Pct</t>
  </si>
  <si>
    <t xml:space="preserve">Source: NPCI P2P/P2M Statistics, Kansas City Fed Research (2024), NPCI Ecosystem Statistics</t>
  </si>
  <si>
    <t xml:space="preserve">Quarter</t>
  </si>
  <si>
    <t xml:space="preserve">PhonePe_Pct</t>
  </si>
  <si>
    <t xml:space="preserve">GooglePay_Pct</t>
  </si>
  <si>
    <t xml:space="preserve">Paytm_Pct</t>
  </si>
  <si>
    <t xml:space="preserve">Others_Pct</t>
  </si>
  <si>
    <t xml:space="preserve">Q1</t>
  </si>
  <si>
    <t xml:space="preserve">Q2</t>
  </si>
  <si>
    <t xml:space="preserve">Q3</t>
  </si>
  <si>
    <t xml:space="preserve">Q4</t>
  </si>
  <si>
    <t xml:space="preserve">Source: NPCI TPAP Market Share Statistics, PhonePe Annual Reports, GrabOn UPI Statistics 2025</t>
  </si>
  <si>
    <t xml:space="preserve">Total_Txn_Billions</t>
  </si>
  <si>
    <t xml:space="preserve">Fraud_Cases</t>
  </si>
  <si>
    <t xml:space="preserve">Fraud_Amount_Crore</t>
  </si>
  <si>
    <t xml:space="preserve">Fraud_Rate_Pct</t>
  </si>
  <si>
    <t xml:space="preserve">Fraud_Amount_Per_Case_INR</t>
  </si>
  <si>
    <t xml:space="preserve">ODR_Resolution_Rate_Pct</t>
  </si>
  <si>
    <t xml:space="preserve">Source: RBI Annual Report on Payment Systems, Ministry of Finance Lok Sabha Data, LocalCircles Survey, NPCI ODR Statistics</t>
  </si>
  <si>
    <t xml:space="preserve">State</t>
  </si>
  <si>
    <t xml:space="preserve">Volume_Billions_FY25</t>
  </si>
  <si>
    <t xml:space="preserve">Value_Lakh_Crore_FY25</t>
  </si>
  <si>
    <t xml:space="preserve">Per_Capita_Txns_FY25</t>
  </si>
  <si>
    <t xml:space="preserve">Tier</t>
  </si>
  <si>
    <t xml:space="preserve">Maharashtra</t>
  </si>
  <si>
    <t xml:space="preserve">Metro</t>
  </si>
  <si>
    <t xml:space="preserve">Karnataka</t>
  </si>
  <si>
    <t xml:space="preserve">Uttar Pradesh</t>
  </si>
  <si>
    <t xml:space="preserve">Large</t>
  </si>
  <si>
    <t xml:space="preserve">Telangana</t>
  </si>
  <si>
    <t xml:space="preserve">Tamil Nadu</t>
  </si>
  <si>
    <t xml:space="preserve">Delhi (NCT)</t>
  </si>
  <si>
    <t xml:space="preserve">Rajasthan</t>
  </si>
  <si>
    <t xml:space="preserve">Gujarat</t>
  </si>
  <si>
    <t xml:space="preserve">Andhra Pradesh</t>
  </si>
  <si>
    <t xml:space="preserve">West Bengal</t>
  </si>
  <si>
    <t xml:space="preserve">Madhya Pradesh</t>
  </si>
  <si>
    <t xml:space="preserve">Haryana</t>
  </si>
  <si>
    <t xml:space="preserve">Punjab</t>
  </si>
  <si>
    <t xml:space="preserve">Bihar</t>
  </si>
  <si>
    <t xml:space="preserve">Emerging</t>
  </si>
  <si>
    <t xml:space="preserve">Odisha</t>
  </si>
  <si>
    <t xml:space="preserve">Kerala</t>
  </si>
  <si>
    <t xml:space="preserve">Jharkhand</t>
  </si>
  <si>
    <t xml:space="preserve">Assam</t>
  </si>
  <si>
    <t xml:space="preserve">Chhattisgarh</t>
  </si>
  <si>
    <t xml:space="preserve">Uttarakhand</t>
  </si>
  <si>
    <t xml:space="preserve">Himachal Pradesh</t>
  </si>
  <si>
    <t xml:space="preserve">Goa</t>
  </si>
  <si>
    <t xml:space="preserve">Unclassified</t>
  </si>
  <si>
    <t xml:space="preserve">N/A</t>
  </si>
  <si>
    <t xml:space="preserve">Source: NPCI State-Wise UPI Statistics FY 2024-25, Dataful.in NPCI datasets, Telangana per-capita from Dataful article</t>
  </si>
  <si>
    <t xml:space="preserve">Category</t>
  </si>
  <si>
    <t xml:space="preserve">Value_Crore</t>
  </si>
  <si>
    <t xml:space="preserve">Groceries &amp; Supermarkets</t>
  </si>
  <si>
    <t xml:space="preserve">Fast Food Restaurants</t>
  </si>
  <si>
    <t xml:space="preserve">Eating Places / Restaurants</t>
  </si>
  <si>
    <t xml:space="preserve">Fuel / Petrol Pumps</t>
  </si>
  <si>
    <t xml:space="preserve">Pharmacy / Medical Stores</t>
  </si>
  <si>
    <t xml:space="preserve">E-commerce / Online Shopping</t>
  </si>
  <si>
    <t xml:space="preserve">Utility Bills (Electricity etc)</t>
  </si>
  <si>
    <t xml:space="preserve">Transport / Cab Services</t>
  </si>
  <si>
    <t xml:space="preserve">Education / School Fees</t>
  </si>
  <si>
    <t xml:space="preserve">Healthcare / Hospitals</t>
  </si>
  <si>
    <t xml:space="preserve">Mobile Recharge / DTH</t>
  </si>
  <si>
    <t xml:space="preserve">Entertainment / OTT</t>
  </si>
  <si>
    <t xml:space="preserve">Clothing &amp; Apparel</t>
  </si>
  <si>
    <t xml:space="preserve">Travel / Hotels</t>
  </si>
  <si>
    <t xml:space="preserve">Pan / Tobacco Shops</t>
  </si>
  <si>
    <t xml:space="preserve">Others</t>
  </si>
  <si>
    <t xml:space="preserve">Source: NPCI Merchant Category Statistics Jan 2026, Meetanshi UPI Statistics 2025</t>
  </si>
  <si>
    <t xml:space="preserve">Country</t>
  </si>
  <si>
    <t xml:space="preserve">Payment_System</t>
  </si>
  <si>
    <t xml:space="preserve">Annual_Txn_Billions_2023</t>
  </si>
  <si>
    <t xml:space="preserve">Real_Time_Share_Pct</t>
  </si>
  <si>
    <t xml:space="preserve">Launch_Year</t>
  </si>
  <si>
    <t xml:space="preserve">Operator</t>
  </si>
  <si>
    <t xml:space="preserve">India</t>
  </si>
  <si>
    <t xml:space="preserve">UPI</t>
  </si>
  <si>
    <t xml:space="preserve">NPCI</t>
  </si>
  <si>
    <t xml:space="preserve">Brazil</t>
  </si>
  <si>
    <t xml:space="preserve">Pix</t>
  </si>
  <si>
    <t xml:space="preserve">Banco Central do Brasil</t>
  </si>
  <si>
    <t xml:space="preserve">China</t>
  </si>
  <si>
    <t xml:space="preserve">Alipay+WeChat</t>
  </si>
  <si>
    <t xml:space="preserve">Ant Group / Tencent</t>
  </si>
  <si>
    <t xml:space="preserve">USA</t>
  </si>
  <si>
    <t xml:space="preserve">Zelle/FedNow</t>
  </si>
  <si>
    <t xml:space="preserve">Early Warning / Federal Reserve</t>
  </si>
  <si>
    <t xml:space="preserve">UK</t>
  </si>
  <si>
    <t xml:space="preserve">Faster Payments</t>
  </si>
  <si>
    <t xml:space="preserve">Pay.UK</t>
  </si>
  <si>
    <t xml:space="preserve">Thailand</t>
  </si>
  <si>
    <t xml:space="preserve">PromptPay</t>
  </si>
  <si>
    <t xml:space="preserve">Bank of Thailand</t>
  </si>
  <si>
    <t xml:space="preserve">Singapore</t>
  </si>
  <si>
    <t xml:space="preserve">PayNow</t>
  </si>
  <si>
    <t xml:space="preserve">ABS/MAS</t>
  </si>
  <si>
    <t xml:space="preserve">EU</t>
  </si>
  <si>
    <t xml:space="preserve">SEPA Instant</t>
  </si>
  <si>
    <t xml:space="preserve">EPC</t>
  </si>
  <si>
    <t xml:space="preserve">Australia</t>
  </si>
  <si>
    <t xml:space="preserve">NPP (Osko)</t>
  </si>
  <si>
    <t xml:space="preserve">NPPA</t>
  </si>
  <si>
    <t xml:space="preserve">Philippines</t>
  </si>
  <si>
    <t xml:space="preserve">InstaPay</t>
  </si>
  <si>
    <t xml:space="preserve">BSP</t>
  </si>
  <si>
    <t xml:space="preserve">Malaysia</t>
  </si>
  <si>
    <t xml:space="preserve">DuitNow</t>
  </si>
  <si>
    <t xml:space="preserve">Payments Network Malaysia</t>
  </si>
  <si>
    <t xml:space="preserve">Source: ACI Worldwide Real-Time Payments Report 2024, BIS Statistics, IMF Digital Payments Data</t>
  </si>
  <si>
    <t xml:space="preserve">Age_Group</t>
  </si>
  <si>
    <t xml:space="preserve">UPI_Adoption_Pct_2025</t>
  </si>
  <si>
    <t xml:space="preserve">UPI_Adoption_Pct_2022</t>
  </si>
  <si>
    <t xml:space="preserve">UPI_Adoption_Pct_2019</t>
  </si>
  <si>
    <t xml:space="preserve">Avg_Daily_Txns</t>
  </si>
  <si>
    <t xml:space="preserve">Preferred_App</t>
  </si>
  <si>
    <t xml:space="preserve">Trust_Score_Pct</t>
  </si>
  <si>
    <t xml:space="preserve">18-25 years</t>
  </si>
  <si>
    <t xml:space="preserve">PhonePe/GPay</t>
  </si>
  <si>
    <t xml:space="preserve">26-35 years</t>
  </si>
  <si>
    <t xml:space="preserve">36-45 years</t>
  </si>
  <si>
    <t xml:space="preserve">46-55 years</t>
  </si>
  <si>
    <t xml:space="preserve">PhonePe</t>
  </si>
  <si>
    <t xml:space="preserve">56-65 years</t>
  </si>
  <si>
    <t xml:space="preserve">PhonePe/BHIM</t>
  </si>
  <si>
    <t xml:space="preserve">66-75 years</t>
  </si>
  <si>
    <t xml:space="preserve">BHIM/GPay</t>
  </si>
  <si>
    <t xml:space="preserve">76-90 years</t>
  </si>
  <si>
    <t xml:space="preserve">BHIM</t>
  </si>
  <si>
    <t xml:space="preserve">Source: MoSPI Telecom Survey 2025 (80th NSSO Round), Finance Ministry Study (10,378 respondents), Dissertation Survey Data</t>
  </si>
  <si>
    <t xml:space="preserve">UPI DATA FOR POWER BI DASHBOARD — 2016 to 2025</t>
  </si>
  <si>
    <t xml:space="preserve">SHEET</t>
  </si>
  <si>
    <t xml:space="preserve">DESCRIPTION &amp; KEY FIELDS</t>
  </si>
  <si>
    <t xml:space="preserve">Monthly_Transactions</t>
  </si>
  <si>
    <t xml:space="preserve">Month-by-month UPI volume (millions), value (₹ crore), avg ticket, member banks, YoY growth. 113 rows.</t>
  </si>
  <si>
    <t xml:space="preserve">Annual_Summary</t>
  </si>
  <si>
    <t xml:space="preserve">Year-by-year totals: volume (billions), value (lakh crore), users, merchants, P2M share.</t>
  </si>
  <si>
    <t xml:space="preserve">P2P_vs_P2M</t>
  </si>
  <si>
    <t xml:space="preserve">Monthly P2P vs P2M volume and value split from Apr 2020 to Dec 2025.</t>
  </si>
  <si>
    <t xml:space="preserve">App_Market_Share</t>
  </si>
  <si>
    <t xml:space="preserve">Quarterly market share % for PhonePe, Google Pay, Paytm, Others (2018–2025).</t>
  </si>
  <si>
    <t xml:space="preserve">Fraud_Security</t>
  </si>
  <si>
    <t xml:space="preserve">Annual fraud cases, fraud amount, fraud rate %, ODR resolution rate (FY20–FY25).</t>
  </si>
  <si>
    <t xml:space="preserve">State_Wise</t>
  </si>
  <si>
    <t xml:space="preserve">Top Indian states by UPI volume/value in FY 2024-25, including per-capita transactions.</t>
  </si>
  <si>
    <t xml:space="preserve">Merchant_Categories</t>
  </si>
  <si>
    <t xml:space="preserve">UPI spending by merchant category (groceries, fuel, e-comm, pharma, etc.).</t>
  </si>
  <si>
    <t xml:space="preserve">Global_Comparison</t>
  </si>
  <si>
    <t xml:space="preserve">India vs other countries: annual real-time payment volumes and launch years.</t>
  </si>
  <si>
    <t xml:space="preserve">Demographics_Adoption</t>
  </si>
  <si>
    <t xml:space="preserve">UPI adoption % and usage by age group (18-90) across 2019, 2022, 2025.</t>
  </si>
  <si>
    <t xml:space="preserve">POWER BI RECOMMENDED VISUALS:</t>
  </si>
  <si>
    <t xml:space="preserve">• Line chart: Monthly_Transactions → Date vs Volume_Millions (Growth Trend)</t>
  </si>
  <si>
    <t xml:space="preserve">• Area chart: Monthly_Transactions → Date vs Value_Crore_INR</t>
  </si>
  <si>
    <t xml:space="preserve">• Stacked bar: P2P_vs_P2M → Date vs P2P + P2M volumes</t>
  </si>
  <si>
    <t xml:space="preserve">• Pie/Donut: App_Market_Share → latest quarter PhonePe/GPay/Paytm</t>
  </si>
  <si>
    <t xml:space="preserve">• Map: State_Wise → state vs Volume_Billions (choropleth)</t>
  </si>
  <si>
    <t xml:space="preserve">• Bar chart: Merchant_Categories → Category vs Value_Crore</t>
  </si>
  <si>
    <t xml:space="preserve">• Line chart: Annual_Summary → FY vs Member_Banks + Active_Users_Millions</t>
  </si>
  <si>
    <t xml:space="preserve">• KPI Cards: Latest month volume, value, avg ticket</t>
  </si>
  <si>
    <t xml:space="preserve">DATA SOURCES:</t>
  </si>
  <si>
    <t xml:space="preserve">NPCI Official Statistics, RBI Annual Reports, Ministry of Finance, ACI Worldwide,</t>
  </si>
  <si>
    <t xml:space="preserve">Kansas City Fed, MoSPI Telecom Survey 2025, Dataful.in, GrabOn, Meetanshi</t>
  </si>
  <si>
    <t xml:space="preserve">NOTE:</t>
  </si>
  <si>
    <t xml:space="preserve">Value data before Jun 2025 is in ₹ Crore. Jun 2025 onward monthly values are in ₹ Crore (large numbers)</t>
  </si>
  <si>
    <t xml:space="preserve">FY = April to March. * marks partial year estimates.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</si>
</sst>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"/>
    <numFmt numFmtId="167" formatCode="0.0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6B00"/>
      <name val="Calibri"/>
      <family val="0"/>
      <charset val="1"/>
    </font>
    <font>
      <b val="true"/>
      <sz val="10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A1628"/>
        <bgColor rgb="FF000000"/>
      </patternFill>
    </fill>
    <fill>
      <patternFill patternType="solid">
        <fgColor rgb="FFEEF2F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D2FE"/>
      </left>
      <right style="thin">
        <color rgb="FFC7D2FE"/>
      </right>
      <top style="thin">
        <color rgb="FFC7D2FE"/>
      </top>
      <bottom style="thin">
        <color rgb="FFC7D2F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EF2FF"/>
      <rgbColor rgb="FF660066"/>
      <rgbColor rgb="FFFF8080"/>
      <rgbColor rgb="FF0066CC"/>
      <rgbColor rgb="FFC7D2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B00"/>
      <rgbColor rgb="FF666666"/>
      <rgbColor rgb="FF969696"/>
      <rgbColor rgb="FF003366"/>
      <rgbColor rgb="FF339966"/>
      <rgbColor rgb="FF0A162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8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2016</v>
      </c>
      <c r="B2" s="2" t="s">
        <v>9</v>
      </c>
      <c r="C2" s="2" t="s">
        <v>10</v>
      </c>
      <c r="D2" s="2" t="n">
        <v>0.09</v>
      </c>
      <c r="E2" s="2" t="n">
        <v>3</v>
      </c>
      <c r="F2" s="2"/>
      <c r="G2" s="2" t="n">
        <v>21</v>
      </c>
    </row>
    <row r="3" customFormat="false" ht="15" hidden="false" customHeight="false" outlineLevel="0" collapsed="false">
      <c r="A3" s="3" t="n">
        <v>2016</v>
      </c>
      <c r="B3" s="3" t="s">
        <v>11</v>
      </c>
      <c r="C3" s="3" t="s">
        <v>12</v>
      </c>
      <c r="D3" s="3" t="n">
        <v>0.3</v>
      </c>
      <c r="E3" s="3" t="n">
        <v>9</v>
      </c>
      <c r="F3" s="3"/>
      <c r="G3" s="3" t="n">
        <v>29</v>
      </c>
    </row>
    <row r="4" customFormat="false" ht="15" hidden="false" customHeight="false" outlineLevel="0" collapsed="false">
      <c r="A4" s="2" t="n">
        <v>2016</v>
      </c>
      <c r="B4" s="2" t="s">
        <v>13</v>
      </c>
      <c r="C4" s="2" t="s">
        <v>14</v>
      </c>
      <c r="D4" s="2" t="n">
        <v>0.31</v>
      </c>
      <c r="E4" s="2" t="n">
        <v>10</v>
      </c>
      <c r="F4" s="2"/>
      <c r="G4" s="2" t="n">
        <v>35</v>
      </c>
    </row>
    <row r="5" customFormat="false" ht="15" hidden="false" customHeight="false" outlineLevel="0" collapsed="false">
      <c r="A5" s="3" t="n">
        <v>2016</v>
      </c>
      <c r="B5" s="3" t="s">
        <v>15</v>
      </c>
      <c r="C5" s="3" t="s">
        <v>16</v>
      </c>
      <c r="D5" s="3" t="n">
        <v>0.52</v>
      </c>
      <c r="E5" s="3" t="n">
        <v>18</v>
      </c>
      <c r="F5" s="3"/>
      <c r="G5" s="3" t="n">
        <v>37</v>
      </c>
    </row>
    <row r="6" customFormat="false" ht="15" hidden="false" customHeight="false" outlineLevel="0" collapsed="false">
      <c r="A6" s="2" t="n">
        <v>2016</v>
      </c>
      <c r="B6" s="2" t="s">
        <v>17</v>
      </c>
      <c r="C6" s="2" t="s">
        <v>18</v>
      </c>
      <c r="D6" s="2" t="n">
        <v>2.02</v>
      </c>
      <c r="E6" s="2" t="n">
        <v>70</v>
      </c>
      <c r="F6" s="2"/>
      <c r="G6" s="2" t="n">
        <v>50</v>
      </c>
    </row>
    <row r="7" customFormat="false" ht="15" hidden="false" customHeight="false" outlineLevel="0" collapsed="false">
      <c r="A7" s="3" t="n">
        <v>2017</v>
      </c>
      <c r="B7" s="3" t="s">
        <v>19</v>
      </c>
      <c r="C7" s="3" t="s">
        <v>20</v>
      </c>
      <c r="D7" s="3" t="n">
        <v>4.19</v>
      </c>
      <c r="E7" s="3" t="n">
        <v>157</v>
      </c>
      <c r="F7" s="3"/>
      <c r="G7" s="3" t="n">
        <v>55</v>
      </c>
    </row>
    <row r="8" customFormat="false" ht="15" hidden="false" customHeight="false" outlineLevel="0" collapsed="false">
      <c r="A8" s="2" t="n">
        <v>2017</v>
      </c>
      <c r="B8" s="2" t="s">
        <v>21</v>
      </c>
      <c r="C8" s="2" t="s">
        <v>22</v>
      </c>
      <c r="D8" s="2" t="n">
        <v>6.94</v>
      </c>
      <c r="E8" s="2" t="n">
        <v>260</v>
      </c>
      <c r="F8" s="2"/>
      <c r="G8" s="2" t="n">
        <v>56</v>
      </c>
    </row>
    <row r="9" customFormat="false" ht="15" hidden="false" customHeight="false" outlineLevel="0" collapsed="false">
      <c r="A9" s="3" t="n">
        <v>2017</v>
      </c>
      <c r="B9" s="3" t="s">
        <v>23</v>
      </c>
      <c r="C9" s="3" t="s">
        <v>24</v>
      </c>
      <c r="D9" s="3" t="n">
        <v>6.25</v>
      </c>
      <c r="E9" s="3" t="n">
        <v>253</v>
      </c>
      <c r="F9" s="3"/>
      <c r="G9" s="3" t="n">
        <v>50</v>
      </c>
    </row>
    <row r="10" customFormat="false" ht="15" hidden="false" customHeight="false" outlineLevel="0" collapsed="false">
      <c r="A10" s="2" t="n">
        <v>2017</v>
      </c>
      <c r="B10" s="2" t="s">
        <v>25</v>
      </c>
      <c r="C10" s="2" t="s">
        <v>26</v>
      </c>
      <c r="D10" s="2" t="n">
        <v>7.49</v>
      </c>
      <c r="E10" s="2" t="n">
        <v>312</v>
      </c>
      <c r="F10" s="2"/>
      <c r="G10" s="2" t="n">
        <v>52</v>
      </c>
    </row>
    <row r="11" customFormat="false" ht="15" hidden="false" customHeight="false" outlineLevel="0" collapsed="false">
      <c r="A11" s="3" t="n">
        <v>2017</v>
      </c>
      <c r="B11" s="3" t="s">
        <v>27</v>
      </c>
      <c r="C11" s="3" t="s">
        <v>28</v>
      </c>
      <c r="D11" s="3" t="n">
        <v>9.27</v>
      </c>
      <c r="E11" s="3" t="n">
        <v>380</v>
      </c>
      <c r="F11" s="3"/>
      <c r="G11" s="3" t="n">
        <v>54</v>
      </c>
    </row>
    <row r="12" customFormat="false" ht="15" hidden="false" customHeight="false" outlineLevel="0" collapsed="false">
      <c r="A12" s="2" t="n">
        <v>2017</v>
      </c>
      <c r="B12" s="2" t="s">
        <v>29</v>
      </c>
      <c r="C12" s="2" t="s">
        <v>30</v>
      </c>
      <c r="D12" s="2" t="n">
        <v>10.35</v>
      </c>
      <c r="E12" s="2" t="n">
        <v>424</v>
      </c>
      <c r="F12" s="2"/>
      <c r="G12" s="2" t="n">
        <v>56</v>
      </c>
    </row>
    <row r="13" customFormat="false" ht="15" hidden="false" customHeight="false" outlineLevel="0" collapsed="false">
      <c r="A13" s="3" t="n">
        <v>2017</v>
      </c>
      <c r="B13" s="3" t="s">
        <v>31</v>
      </c>
      <c r="C13" s="3" t="s">
        <v>32</v>
      </c>
      <c r="D13" s="3" t="n">
        <v>11.36</v>
      </c>
      <c r="E13" s="3" t="n">
        <v>465</v>
      </c>
      <c r="F13" s="3"/>
      <c r="G13" s="3" t="n">
        <v>57</v>
      </c>
    </row>
    <row r="14" customFormat="false" ht="15" hidden="false" customHeight="false" outlineLevel="0" collapsed="false">
      <c r="A14" s="2" t="n">
        <v>2017</v>
      </c>
      <c r="B14" s="2" t="s">
        <v>9</v>
      </c>
      <c r="C14" s="2" t="s">
        <v>33</v>
      </c>
      <c r="D14" s="2" t="n">
        <v>16.41</v>
      </c>
      <c r="E14" s="2" t="n">
        <v>712</v>
      </c>
      <c r="F14" s="2"/>
      <c r="G14" s="2" t="n">
        <v>60</v>
      </c>
      <c r="H14" s="4" t="n">
        <f aca="false">IF(D2&gt;0,(D14-D2)/D2,"")</f>
        <v>181.333333333333</v>
      </c>
      <c r="I14" s="4" t="n">
        <f aca="false">IF(E2&gt;0,(E14-E2)/E2,"")</f>
        <v>236.333333333333</v>
      </c>
    </row>
    <row r="15" customFormat="false" ht="15" hidden="false" customHeight="false" outlineLevel="0" collapsed="false">
      <c r="A15" s="3" t="n">
        <v>2017</v>
      </c>
      <c r="B15" s="3" t="s">
        <v>11</v>
      </c>
      <c r="C15" s="3" t="s">
        <v>34</v>
      </c>
      <c r="D15" s="3" t="n">
        <v>30.7</v>
      </c>
      <c r="E15" s="3" t="n">
        <v>1524</v>
      </c>
      <c r="F15" s="3"/>
      <c r="G15" s="3" t="n">
        <v>68</v>
      </c>
      <c r="H15" s="5" t="n">
        <f aca="false">IF(D3&gt;0,(D15-D3)/D3,"")</f>
        <v>101.333333333333</v>
      </c>
      <c r="I15" s="5" t="n">
        <f aca="false">IF(E3&gt;0,(E15-E3)/E3,"")</f>
        <v>168.333333333333</v>
      </c>
    </row>
    <row r="16" customFormat="false" ht="15" hidden="false" customHeight="false" outlineLevel="0" collapsed="false">
      <c r="A16" s="2" t="n">
        <v>2017</v>
      </c>
      <c r="B16" s="2" t="s">
        <v>13</v>
      </c>
      <c r="C16" s="2" t="s">
        <v>35</v>
      </c>
      <c r="D16" s="2" t="n">
        <v>52.25</v>
      </c>
      <c r="E16" s="2" t="n">
        <v>2526</v>
      </c>
      <c r="F16" s="2"/>
      <c r="G16" s="2" t="n">
        <v>80</v>
      </c>
      <c r="H16" s="4" t="n">
        <f aca="false">IF(D4&gt;0,(D16-D4)/D4,"")</f>
        <v>167.548387096774</v>
      </c>
      <c r="I16" s="4" t="n">
        <f aca="false">IF(E4&gt;0,(E16-E4)/E4,"")</f>
        <v>251.6</v>
      </c>
    </row>
    <row r="17" customFormat="false" ht="15" hidden="false" customHeight="false" outlineLevel="0" collapsed="false">
      <c r="A17" s="3" t="n">
        <v>2017</v>
      </c>
      <c r="B17" s="3" t="s">
        <v>15</v>
      </c>
      <c r="C17" s="3" t="s">
        <v>36</v>
      </c>
      <c r="D17" s="3" t="n">
        <v>104.95</v>
      </c>
      <c r="E17" s="3" t="n">
        <v>5593</v>
      </c>
      <c r="F17" s="3"/>
      <c r="G17" s="3" t="n">
        <v>84</v>
      </c>
      <c r="H17" s="5" t="n">
        <f aca="false">IF(D5&gt;0,(D17-D5)/D5,"")</f>
        <v>200.826923076923</v>
      </c>
      <c r="I17" s="5" t="n">
        <f aca="false">IF(E5&gt;0,(E17-E5)/E5,"")</f>
        <v>309.722222222222</v>
      </c>
    </row>
    <row r="18" customFormat="false" ht="15" hidden="false" customHeight="false" outlineLevel="0" collapsed="false">
      <c r="A18" s="2" t="n">
        <v>2017</v>
      </c>
      <c r="B18" s="2" t="s">
        <v>17</v>
      </c>
      <c r="C18" s="2" t="s">
        <v>37</v>
      </c>
      <c r="D18" s="2" t="n">
        <v>145.48</v>
      </c>
      <c r="E18" s="2" t="n">
        <v>8264</v>
      </c>
      <c r="F18" s="2"/>
      <c r="G18" s="2" t="n">
        <v>89</v>
      </c>
      <c r="H18" s="4" t="n">
        <f aca="false">IF(D6&gt;0,(D18-D6)/D6,"")</f>
        <v>71.019801980198</v>
      </c>
      <c r="I18" s="4" t="n">
        <f aca="false">IF(E6&gt;0,(E18-E6)/E6,"")</f>
        <v>117.057142857143</v>
      </c>
    </row>
    <row r="19" customFormat="false" ht="15" hidden="false" customHeight="false" outlineLevel="0" collapsed="false">
      <c r="A19" s="3" t="n">
        <v>2018</v>
      </c>
      <c r="B19" s="3" t="s">
        <v>19</v>
      </c>
      <c r="C19" s="3" t="s">
        <v>38</v>
      </c>
      <c r="D19" s="3" t="n">
        <v>151.7</v>
      </c>
      <c r="E19" s="3" t="n">
        <v>8920</v>
      </c>
      <c r="F19" s="3"/>
      <c r="G19" s="3" t="n">
        <v>91</v>
      </c>
      <c r="H19" s="5" t="n">
        <f aca="false">IF(D7&gt;0,(D19-D7)/D7,"")</f>
        <v>35.2052505966587</v>
      </c>
      <c r="I19" s="5" t="n">
        <f aca="false">IF(E7&gt;0,(E19-E7)/E7,"")</f>
        <v>55.8152866242038</v>
      </c>
    </row>
    <row r="20" customFormat="false" ht="15" hidden="false" customHeight="false" outlineLevel="0" collapsed="false">
      <c r="A20" s="2" t="n">
        <v>2018</v>
      </c>
      <c r="B20" s="2" t="s">
        <v>21</v>
      </c>
      <c r="C20" s="2" t="s">
        <v>39</v>
      </c>
      <c r="D20" s="2" t="n">
        <v>171.47</v>
      </c>
      <c r="E20" s="2" t="n">
        <v>10270</v>
      </c>
      <c r="F20" s="2"/>
      <c r="G20" s="2" t="n">
        <v>100</v>
      </c>
      <c r="H20" s="4" t="n">
        <f aca="false">IF(D8&gt;0,(D20-D8)/D8,"")</f>
        <v>23.707492795389</v>
      </c>
      <c r="I20" s="4" t="n">
        <f aca="false">IF(E8&gt;0,(E20-E8)/E8,"")</f>
        <v>38.5</v>
      </c>
    </row>
    <row r="21" customFormat="false" ht="15" hidden="false" customHeight="false" outlineLevel="0" collapsed="false">
      <c r="A21" s="3" t="n">
        <v>2018</v>
      </c>
      <c r="B21" s="3" t="s">
        <v>23</v>
      </c>
      <c r="C21" s="3" t="s">
        <v>40</v>
      </c>
      <c r="D21" s="3" t="n">
        <v>178.05</v>
      </c>
      <c r="E21" s="3" t="n">
        <v>10929</v>
      </c>
      <c r="F21" s="3"/>
      <c r="G21" s="3" t="n">
        <v>100</v>
      </c>
      <c r="H21" s="5" t="n">
        <f aca="false">IF(D9&gt;0,(D21-D9)/D9,"")</f>
        <v>27.488</v>
      </c>
      <c r="I21" s="5" t="n">
        <f aca="false">IF(E9&gt;0,(E21-E9)/E9,"")</f>
        <v>42.197628458498</v>
      </c>
    </row>
    <row r="22" customFormat="false" ht="15" hidden="false" customHeight="false" outlineLevel="0" collapsed="false">
      <c r="A22" s="2" t="n">
        <v>2018</v>
      </c>
      <c r="B22" s="2" t="s">
        <v>25</v>
      </c>
      <c r="C22" s="2" t="s">
        <v>41</v>
      </c>
      <c r="D22" s="2" t="n">
        <v>190.08</v>
      </c>
      <c r="E22" s="2" t="n">
        <v>11468</v>
      </c>
      <c r="F22" s="2"/>
      <c r="G22" s="2" t="n">
        <v>106</v>
      </c>
      <c r="H22" s="4" t="n">
        <f aca="false">IF(D10&gt;0,(D22-D10)/D10,"")</f>
        <v>24.3778371161549</v>
      </c>
      <c r="I22" s="4" t="n">
        <f aca="false">IF(E10&gt;0,(E22-E10)/E10,"")</f>
        <v>35.7564102564103</v>
      </c>
    </row>
    <row r="23" customFormat="false" ht="15" hidden="false" customHeight="false" outlineLevel="0" collapsed="false">
      <c r="A23" s="3" t="n">
        <v>2018</v>
      </c>
      <c r="B23" s="3" t="s">
        <v>27</v>
      </c>
      <c r="C23" s="3" t="s">
        <v>42</v>
      </c>
      <c r="D23" s="3" t="n">
        <v>223.2</v>
      </c>
      <c r="E23" s="3" t="n">
        <v>13585</v>
      </c>
      <c r="F23" s="3"/>
      <c r="G23" s="3" t="n">
        <v>112</v>
      </c>
      <c r="H23" s="5" t="n">
        <f aca="false">IF(D11&gt;0,(D23-D11)/D11,"")</f>
        <v>23.0776699029126</v>
      </c>
      <c r="I23" s="5" t="n">
        <f aca="false">IF(E11&gt;0,(E23-E11)/E11,"")</f>
        <v>34.75</v>
      </c>
    </row>
    <row r="24" customFormat="false" ht="15" hidden="false" customHeight="false" outlineLevel="0" collapsed="false">
      <c r="A24" s="2" t="n">
        <v>2018</v>
      </c>
      <c r="B24" s="2" t="s">
        <v>29</v>
      </c>
      <c r="C24" s="2" t="s">
        <v>43</v>
      </c>
      <c r="D24" s="2" t="n">
        <v>246.49</v>
      </c>
      <c r="E24" s="2" t="n">
        <v>14917</v>
      </c>
      <c r="F24" s="2"/>
      <c r="G24" s="2" t="n">
        <v>120</v>
      </c>
      <c r="H24" s="4" t="n">
        <f aca="false">IF(D12&gt;0,(D24-D12)/D12,"")</f>
        <v>22.8154589371981</v>
      </c>
      <c r="I24" s="4" t="n">
        <f aca="false">IF(E12&gt;0,(E24-E12)/E12,"")</f>
        <v>34.1816037735849</v>
      </c>
    </row>
    <row r="25" customFormat="false" ht="15" hidden="false" customHeight="false" outlineLevel="0" collapsed="false">
      <c r="A25" s="3" t="n">
        <v>2018</v>
      </c>
      <c r="B25" s="3" t="s">
        <v>31</v>
      </c>
      <c r="C25" s="3" t="s">
        <v>44</v>
      </c>
      <c r="D25" s="3" t="n">
        <v>235.65</v>
      </c>
      <c r="E25" s="3" t="n">
        <v>14264</v>
      </c>
      <c r="F25" s="3"/>
      <c r="G25" s="3" t="n">
        <v>124</v>
      </c>
      <c r="H25" s="5" t="n">
        <f aca="false">IF(D13&gt;0,(D25-D13)/D13,"")</f>
        <v>19.743838028169</v>
      </c>
      <c r="I25" s="5" t="n">
        <f aca="false">IF(E13&gt;0,(E25-E13)/E13,"")</f>
        <v>29.6752688172043</v>
      </c>
    </row>
    <row r="26" customFormat="false" ht="15" hidden="false" customHeight="false" outlineLevel="0" collapsed="false">
      <c r="A26" s="2" t="n">
        <v>2018</v>
      </c>
      <c r="B26" s="2" t="s">
        <v>9</v>
      </c>
      <c r="C26" s="2" t="s">
        <v>45</v>
      </c>
      <c r="D26" s="2" t="n">
        <v>312.44</v>
      </c>
      <c r="E26" s="2" t="n">
        <v>17956</v>
      </c>
      <c r="F26" s="2"/>
      <c r="G26" s="2" t="n">
        <v>130</v>
      </c>
      <c r="H26" s="4" t="n">
        <f aca="false">IF(D14&gt;0,(D26-D14)/D14,"")</f>
        <v>18.0396099939062</v>
      </c>
      <c r="I26" s="4" t="n">
        <f aca="false">IF(E14&gt;0,(E26-E14)/E14,"")</f>
        <v>24.2191011235955</v>
      </c>
    </row>
    <row r="27" customFormat="false" ht="15" hidden="false" customHeight="false" outlineLevel="0" collapsed="false">
      <c r="A27" s="3" t="n">
        <v>2018</v>
      </c>
      <c r="B27" s="3" t="s">
        <v>11</v>
      </c>
      <c r="C27" s="3" t="s">
        <v>46</v>
      </c>
      <c r="D27" s="3" t="n">
        <v>482.33</v>
      </c>
      <c r="E27" s="3" t="n">
        <v>29800</v>
      </c>
      <c r="F27" s="3"/>
      <c r="G27" s="3" t="n">
        <v>140</v>
      </c>
      <c r="H27" s="5" t="n">
        <f aca="false">IF(D15&gt;0,(D27-D15)/D15,"")</f>
        <v>14.7110749185668</v>
      </c>
      <c r="I27" s="5" t="n">
        <f aca="false">IF(E15&gt;0,(E27-E15)/E15,"")</f>
        <v>18.5538057742782</v>
      </c>
    </row>
    <row r="28" customFormat="false" ht="15" hidden="false" customHeight="false" outlineLevel="0" collapsed="false">
      <c r="A28" s="2" t="n">
        <v>2018</v>
      </c>
      <c r="B28" s="2" t="s">
        <v>13</v>
      </c>
      <c r="C28" s="2" t="s">
        <v>47</v>
      </c>
      <c r="D28" s="2" t="n">
        <v>524.94</v>
      </c>
      <c r="E28" s="2" t="n">
        <v>31640</v>
      </c>
      <c r="F28" s="2"/>
      <c r="G28" s="2" t="n">
        <v>142</v>
      </c>
      <c r="H28" s="4" t="n">
        <f aca="false">IF(D16&gt;0,(D28-D16)/D16,"")</f>
        <v>9.0466985645933</v>
      </c>
      <c r="I28" s="4" t="n">
        <f aca="false">IF(E16&gt;0,(E28-E16)/E16,"")</f>
        <v>11.5257323832146</v>
      </c>
    </row>
    <row r="29" customFormat="false" ht="15" hidden="false" customHeight="false" outlineLevel="0" collapsed="false">
      <c r="A29" s="3" t="n">
        <v>2018</v>
      </c>
      <c r="B29" s="3" t="s">
        <v>15</v>
      </c>
      <c r="C29" s="3" t="s">
        <v>48</v>
      </c>
      <c r="D29" s="3" t="n">
        <v>523.01</v>
      </c>
      <c r="E29" s="3" t="n">
        <v>31488</v>
      </c>
      <c r="F29" s="3"/>
      <c r="G29" s="3" t="n">
        <v>145</v>
      </c>
      <c r="H29" s="5" t="n">
        <f aca="false">IF(D17&gt;0,(D29-D17)/D17,"")</f>
        <v>3.98342067651262</v>
      </c>
      <c r="I29" s="5" t="n">
        <f aca="false">IF(E17&gt;0,(E29-E17)/E17,"")</f>
        <v>4.62989451099589</v>
      </c>
    </row>
    <row r="30" customFormat="false" ht="15" hidden="false" customHeight="false" outlineLevel="0" collapsed="false">
      <c r="A30" s="2" t="n">
        <v>2018</v>
      </c>
      <c r="B30" s="2" t="s">
        <v>17</v>
      </c>
      <c r="C30" s="2" t="s">
        <v>49</v>
      </c>
      <c r="D30" s="2" t="n">
        <v>620.52</v>
      </c>
      <c r="E30" s="2" t="n">
        <v>35259</v>
      </c>
      <c r="F30" s="2"/>
      <c r="G30" s="2" t="n">
        <v>148</v>
      </c>
      <c r="H30" s="4" t="n">
        <f aca="false">IF(D18&gt;0,(D30-D18)/D18,"")</f>
        <v>3.26532856750069</v>
      </c>
      <c r="I30" s="4" t="n">
        <f aca="false">IF(E18&gt;0,(E30-E18)/E18,"")</f>
        <v>3.26657792836399</v>
      </c>
    </row>
    <row r="31" customFormat="false" ht="15" hidden="false" customHeight="false" outlineLevel="0" collapsed="false">
      <c r="A31" s="3" t="n">
        <v>2019</v>
      </c>
      <c r="B31" s="3" t="s">
        <v>19</v>
      </c>
      <c r="C31" s="3" t="s">
        <v>50</v>
      </c>
      <c r="D31" s="3" t="n">
        <v>672.76</v>
      </c>
      <c r="E31" s="3" t="n">
        <v>37008</v>
      </c>
      <c r="F31" s="3"/>
      <c r="G31" s="3" t="n">
        <v>150</v>
      </c>
      <c r="H31" s="5" t="n">
        <f aca="false">IF(D19&gt;0,(D31-D19)/D19,"")</f>
        <v>3.43480553724456</v>
      </c>
      <c r="I31" s="5" t="n">
        <f aca="false">IF(E19&gt;0,(E31-E19)/E19,"")</f>
        <v>3.14887892376682</v>
      </c>
    </row>
    <row r="32" customFormat="false" ht="15" hidden="false" customHeight="false" outlineLevel="0" collapsed="false">
      <c r="A32" s="2" t="n">
        <v>2019</v>
      </c>
      <c r="B32" s="2" t="s">
        <v>21</v>
      </c>
      <c r="C32" s="2" t="s">
        <v>51</v>
      </c>
      <c r="D32" s="2" t="n">
        <v>781.23</v>
      </c>
      <c r="E32" s="2" t="n">
        <v>43826</v>
      </c>
      <c r="F32" s="2"/>
      <c r="G32" s="2" t="n">
        <v>150</v>
      </c>
      <c r="H32" s="4" t="n">
        <f aca="false">IF(D20&gt;0,(D32-D20)/D20,"")</f>
        <v>3.55607394879571</v>
      </c>
      <c r="I32" s="4" t="n">
        <f aca="false">IF(E20&gt;0,(E32-E20)/E20,"")</f>
        <v>3.26738072054528</v>
      </c>
    </row>
    <row r="33" customFormat="false" ht="15" hidden="false" customHeight="false" outlineLevel="0" collapsed="false">
      <c r="A33" s="3" t="n">
        <v>2019</v>
      </c>
      <c r="B33" s="3" t="s">
        <v>23</v>
      </c>
      <c r="C33" s="3" t="s">
        <v>52</v>
      </c>
      <c r="D33" s="3" t="n">
        <v>799.54</v>
      </c>
      <c r="E33" s="3" t="n">
        <v>43991</v>
      </c>
      <c r="F33" s="3"/>
      <c r="G33" s="3" t="n">
        <v>150</v>
      </c>
      <c r="H33" s="5" t="n">
        <f aca="false">IF(D21&gt;0,(D33-D21)/D21,"")</f>
        <v>3.49053636618927</v>
      </c>
      <c r="I33" s="5" t="n">
        <f aca="false">IF(E21&gt;0,(E33-E21)/E21,"")</f>
        <v>3.02516241193156</v>
      </c>
    </row>
    <row r="34" customFormat="false" ht="15" hidden="false" customHeight="false" outlineLevel="0" collapsed="false">
      <c r="A34" s="2" t="n">
        <v>2019</v>
      </c>
      <c r="B34" s="2" t="s">
        <v>25</v>
      </c>
      <c r="C34" s="2" t="s">
        <v>53</v>
      </c>
      <c r="D34" s="2" t="n">
        <v>918.35</v>
      </c>
      <c r="E34" s="2" t="n">
        <v>49500</v>
      </c>
      <c r="F34" s="2"/>
      <c r="G34" s="2" t="n">
        <v>155</v>
      </c>
      <c r="H34" s="4" t="n">
        <f aca="false">IF(D22&gt;0,(D34-D22)/D22,"")</f>
        <v>3.83138678451178</v>
      </c>
      <c r="I34" s="4" t="n">
        <f aca="false">IF(E22&gt;0,(E34-E22)/E22,"")</f>
        <v>3.3163585629578</v>
      </c>
    </row>
    <row r="35" customFormat="false" ht="15" hidden="false" customHeight="false" outlineLevel="0" collapsed="false">
      <c r="A35" s="3" t="n">
        <v>2019</v>
      </c>
      <c r="B35" s="3" t="s">
        <v>27</v>
      </c>
      <c r="C35" s="3" t="s">
        <v>54</v>
      </c>
      <c r="D35" s="3" t="n">
        <v>952.6</v>
      </c>
      <c r="E35" s="3" t="n">
        <v>52014</v>
      </c>
      <c r="F35" s="3"/>
      <c r="G35" s="3" t="n">
        <v>157</v>
      </c>
      <c r="H35" s="5" t="n">
        <f aca="false">IF(D23&gt;0,(D35-D23)/D23,"")</f>
        <v>3.26792114695341</v>
      </c>
      <c r="I35" s="5" t="n">
        <f aca="false">IF(E23&gt;0,(E35-E23)/E23,"")</f>
        <v>2.82878174457122</v>
      </c>
    </row>
    <row r="36" customFormat="false" ht="15" hidden="false" customHeight="false" outlineLevel="0" collapsed="false">
      <c r="A36" s="2" t="n">
        <v>2019</v>
      </c>
      <c r="B36" s="2" t="s">
        <v>29</v>
      </c>
      <c r="C36" s="2" t="s">
        <v>55</v>
      </c>
      <c r="D36" s="2" t="n">
        <v>962.44</v>
      </c>
      <c r="E36" s="2" t="n">
        <v>53000</v>
      </c>
      <c r="F36" s="2"/>
      <c r="G36" s="2" t="n">
        <v>158</v>
      </c>
      <c r="H36" s="4" t="n">
        <f aca="false">IF(D24&gt;0,(D36-D24)/D24,"")</f>
        <v>2.90458030751755</v>
      </c>
      <c r="I36" s="4" t="n">
        <f aca="false">IF(E24&gt;0,(E36-E24)/E24,"")</f>
        <v>2.55299322920158</v>
      </c>
    </row>
    <row r="37" customFormat="false" ht="15" hidden="false" customHeight="false" outlineLevel="0" collapsed="false">
      <c r="A37" s="3" t="n">
        <v>2019</v>
      </c>
      <c r="B37" s="3" t="s">
        <v>31</v>
      </c>
      <c r="C37" s="3" t="s">
        <v>56</v>
      </c>
      <c r="D37" s="3" t="n">
        <v>1055.01</v>
      </c>
      <c r="E37" s="3" t="n">
        <v>56823</v>
      </c>
      <c r="F37" s="3"/>
      <c r="G37" s="3" t="n">
        <v>161</v>
      </c>
      <c r="H37" s="5" t="n">
        <f aca="false">IF(D25&gt;0,(D37-D25)/D25,"")</f>
        <v>3.47702100572884</v>
      </c>
      <c r="I37" s="5" t="n">
        <f aca="false">IF(E25&gt;0,(E37-E25)/E25,"")</f>
        <v>2.98366517106001</v>
      </c>
    </row>
    <row r="38" customFormat="false" ht="15" hidden="false" customHeight="false" outlineLevel="0" collapsed="false">
      <c r="A38" s="2" t="n">
        <v>2019</v>
      </c>
      <c r="B38" s="2" t="s">
        <v>9</v>
      </c>
      <c r="C38" s="2" t="s">
        <v>57</v>
      </c>
      <c r="D38" s="2" t="n">
        <v>918.35</v>
      </c>
      <c r="E38" s="2" t="n">
        <v>49800</v>
      </c>
      <c r="F38" s="2"/>
      <c r="G38" s="2" t="n">
        <v>163</v>
      </c>
      <c r="H38" s="4" t="n">
        <f aca="false">IF(D26&gt;0,(D38-D26)/D26,"")</f>
        <v>1.93928434259378</v>
      </c>
      <c r="I38" s="4" t="n">
        <f aca="false">IF(E26&gt;0,(E38-E26)/E26,"")</f>
        <v>1.77344620182669</v>
      </c>
    </row>
    <row r="39" customFormat="false" ht="15" hidden="false" customHeight="false" outlineLevel="0" collapsed="false">
      <c r="A39" s="3" t="n">
        <v>2019</v>
      </c>
      <c r="B39" s="3" t="s">
        <v>11</v>
      </c>
      <c r="C39" s="3" t="s">
        <v>58</v>
      </c>
      <c r="D39" s="3" t="n">
        <v>955.61</v>
      </c>
      <c r="E39" s="3" t="n">
        <v>53614</v>
      </c>
      <c r="F39" s="3"/>
      <c r="G39" s="3" t="n">
        <v>167</v>
      </c>
      <c r="H39" s="5" t="n">
        <f aca="false">IF(D27&gt;0,(D39-D27)/D27,"")</f>
        <v>0.981236912487301</v>
      </c>
      <c r="I39" s="5" t="n">
        <f aca="false">IF(E27&gt;0,(E39-E27)/E27,"")</f>
        <v>0.799127516778524</v>
      </c>
    </row>
    <row r="40" customFormat="false" ht="15" hidden="false" customHeight="false" outlineLevel="0" collapsed="false">
      <c r="A40" s="2" t="n">
        <v>2019</v>
      </c>
      <c r="B40" s="2" t="s">
        <v>13</v>
      </c>
      <c r="C40" s="2" t="s">
        <v>59</v>
      </c>
      <c r="D40" s="2" t="n">
        <v>1000.77</v>
      </c>
      <c r="E40" s="2" t="n">
        <v>59985</v>
      </c>
      <c r="F40" s="2"/>
      <c r="G40" s="2" t="n">
        <v>168</v>
      </c>
      <c r="H40" s="4" t="n">
        <f aca="false">IF(D28&gt;0,(D40-D28)/D28,"")</f>
        <v>0.906446451022974</v>
      </c>
      <c r="I40" s="4" t="n">
        <f aca="false">IF(E28&gt;0,(E40-E28)/E28,"")</f>
        <v>0.895859671302149</v>
      </c>
    </row>
    <row r="41" customFormat="false" ht="15" hidden="false" customHeight="false" outlineLevel="0" collapsed="false">
      <c r="A41" s="3" t="n">
        <v>2019</v>
      </c>
      <c r="B41" s="3" t="s">
        <v>15</v>
      </c>
      <c r="C41" s="3" t="s">
        <v>60</v>
      </c>
      <c r="D41" s="3" t="n">
        <v>1088.85</v>
      </c>
      <c r="E41" s="3" t="n">
        <v>63023</v>
      </c>
      <c r="F41" s="3"/>
      <c r="G41" s="3" t="n">
        <v>170</v>
      </c>
      <c r="H41" s="5" t="n">
        <f aca="false">IF(D29&gt;0,(D41-D29)/D29,"")</f>
        <v>1.08189135962984</v>
      </c>
      <c r="I41" s="5" t="n">
        <f aca="false">IF(E29&gt;0,(E41-E29)/E29,"")</f>
        <v>1.00149263211382</v>
      </c>
    </row>
    <row r="42" customFormat="false" ht="15" hidden="false" customHeight="false" outlineLevel="0" collapsed="false">
      <c r="A42" s="2" t="n">
        <v>2019</v>
      </c>
      <c r="B42" s="2" t="s">
        <v>17</v>
      </c>
      <c r="C42" s="2" t="s">
        <v>61</v>
      </c>
      <c r="D42" s="2" t="n">
        <v>1308.59</v>
      </c>
      <c r="E42" s="2" t="n">
        <v>76765</v>
      </c>
      <c r="F42" s="2"/>
      <c r="G42" s="2" t="n">
        <v>172</v>
      </c>
      <c r="H42" s="4" t="n">
        <f aca="false">IF(D30&gt;0,(D42-D30)/D30,"")</f>
        <v>1.10886031070715</v>
      </c>
      <c r="I42" s="4" t="n">
        <f aca="false">IF(E30&gt;0,(E42-E30)/E30,"")</f>
        <v>1.17717462208231</v>
      </c>
    </row>
    <row r="43" customFormat="false" ht="15" hidden="false" customHeight="false" outlineLevel="0" collapsed="false">
      <c r="A43" s="3" t="n">
        <v>2020</v>
      </c>
      <c r="B43" s="3" t="s">
        <v>19</v>
      </c>
      <c r="C43" s="3" t="s">
        <v>62</v>
      </c>
      <c r="D43" s="3" t="n">
        <v>1307.62</v>
      </c>
      <c r="E43" s="3" t="n">
        <v>76718</v>
      </c>
      <c r="F43" s="3"/>
      <c r="G43" s="3" t="n">
        <v>173</v>
      </c>
      <c r="H43" s="5" t="n">
        <f aca="false">IF(D31&gt;0,(D43-D31)/D31,"")</f>
        <v>0.943664902788513</v>
      </c>
      <c r="I43" s="5" t="n">
        <f aca="false">IF(E31&gt;0,(E43-E31)/E31,"")</f>
        <v>1.0730112408128</v>
      </c>
    </row>
    <row r="44" customFormat="false" ht="15" hidden="false" customHeight="false" outlineLevel="0" collapsed="false">
      <c r="A44" s="2" t="n">
        <v>2020</v>
      </c>
      <c r="B44" s="2" t="s">
        <v>21</v>
      </c>
      <c r="C44" s="2" t="s">
        <v>63</v>
      </c>
      <c r="D44" s="2" t="n">
        <v>1328.75</v>
      </c>
      <c r="E44" s="2" t="n">
        <v>78432</v>
      </c>
      <c r="F44" s="2"/>
      <c r="G44" s="2" t="n">
        <v>175</v>
      </c>
      <c r="H44" s="4" t="n">
        <f aca="false">IF(D32&gt;0,(D44-D32)/D32,"")</f>
        <v>0.700843541594665</v>
      </c>
      <c r="I44" s="4" t="n">
        <f aca="false">IF(E32&gt;0,(E44-E32)/E32,"")</f>
        <v>0.789622598457537</v>
      </c>
    </row>
    <row r="45" customFormat="false" ht="15" hidden="false" customHeight="false" outlineLevel="0" collapsed="false">
      <c r="A45" s="3" t="n">
        <v>2020</v>
      </c>
      <c r="B45" s="3" t="s">
        <v>23</v>
      </c>
      <c r="C45" s="3" t="s">
        <v>64</v>
      </c>
      <c r="D45" s="3" t="n">
        <v>1249.7</v>
      </c>
      <c r="E45" s="3" t="n">
        <v>72285</v>
      </c>
      <c r="F45" s="3"/>
      <c r="G45" s="3" t="n">
        <v>175</v>
      </c>
      <c r="H45" s="5" t="n">
        <f aca="false">IF(D33&gt;0,(D45-D33)/D33,"")</f>
        <v>0.563023738649724</v>
      </c>
      <c r="I45" s="5" t="n">
        <f aca="false">IF(E33&gt;0,(E45-E33)/E33,"")</f>
        <v>0.64317701348003</v>
      </c>
    </row>
    <row r="46" customFormat="false" ht="15" hidden="false" customHeight="false" outlineLevel="0" collapsed="false">
      <c r="A46" s="2" t="n">
        <v>2020</v>
      </c>
      <c r="B46" s="2" t="s">
        <v>25</v>
      </c>
      <c r="C46" s="2" t="s">
        <v>65</v>
      </c>
      <c r="D46" s="2" t="n">
        <v>999.37</v>
      </c>
      <c r="E46" s="2" t="n">
        <v>55037</v>
      </c>
      <c r="F46" s="2"/>
      <c r="G46" s="2" t="n">
        <v>175</v>
      </c>
      <c r="H46" s="4" t="n">
        <f aca="false">IF(D34&gt;0,(D46-D34)/D34,"")</f>
        <v>0.088223444220613</v>
      </c>
      <c r="I46" s="4" t="n">
        <f aca="false">IF(E34&gt;0,(E46-E34)/E34,"")</f>
        <v>0.111858585858586</v>
      </c>
    </row>
    <row r="47" customFormat="false" ht="15" hidden="false" customHeight="false" outlineLevel="0" collapsed="false">
      <c r="A47" s="3" t="n">
        <v>2020</v>
      </c>
      <c r="B47" s="3" t="s">
        <v>27</v>
      </c>
      <c r="C47" s="3" t="s">
        <v>66</v>
      </c>
      <c r="D47" s="3" t="n">
        <v>1232.34</v>
      </c>
      <c r="E47" s="3" t="n">
        <v>73191</v>
      </c>
      <c r="F47" s="3"/>
      <c r="G47" s="3" t="n">
        <v>177</v>
      </c>
      <c r="H47" s="5" t="n">
        <f aca="false">IF(D35&gt;0,(D47-D35)/D35,"")</f>
        <v>0.293659458324585</v>
      </c>
      <c r="I47" s="5" t="n">
        <f aca="false">IF(E35&gt;0,(E47-E35)/E35,"")</f>
        <v>0.407140385280886</v>
      </c>
    </row>
    <row r="48" customFormat="false" ht="15" hidden="false" customHeight="false" outlineLevel="0" collapsed="false">
      <c r="A48" s="2" t="n">
        <v>2020</v>
      </c>
      <c r="B48" s="2" t="s">
        <v>29</v>
      </c>
      <c r="C48" s="2" t="s">
        <v>67</v>
      </c>
      <c r="D48" s="2" t="n">
        <v>1340.71</v>
      </c>
      <c r="E48" s="2" t="n">
        <v>82374</v>
      </c>
      <c r="F48" s="2"/>
      <c r="G48" s="2" t="n">
        <v>179</v>
      </c>
      <c r="H48" s="4" t="n">
        <f aca="false">IF(D36&gt;0,(D48-D36)/D36,"")</f>
        <v>0.393032292922156</v>
      </c>
      <c r="I48" s="4" t="n">
        <f aca="false">IF(E36&gt;0,(E48-E36)/E36,"")</f>
        <v>0.55422641509434</v>
      </c>
    </row>
    <row r="49" customFormat="false" ht="15" hidden="false" customHeight="false" outlineLevel="0" collapsed="false">
      <c r="A49" s="3" t="n">
        <v>2020</v>
      </c>
      <c r="B49" s="3" t="s">
        <v>31</v>
      </c>
      <c r="C49" s="3" t="s">
        <v>68</v>
      </c>
      <c r="D49" s="3" t="n">
        <v>1495.49</v>
      </c>
      <c r="E49" s="3" t="n">
        <v>90430</v>
      </c>
      <c r="F49" s="3"/>
      <c r="G49" s="3" t="n">
        <v>181</v>
      </c>
      <c r="H49" s="5" t="n">
        <f aca="false">IF(D37&gt;0,(D49-D37)/D37,"")</f>
        <v>0.417512630212036</v>
      </c>
      <c r="I49" s="5" t="n">
        <f aca="false">IF(E37&gt;0,(E49-E37)/E37,"")</f>
        <v>0.591433046477659</v>
      </c>
    </row>
    <row r="50" customFormat="false" ht="15" hidden="false" customHeight="false" outlineLevel="0" collapsed="false">
      <c r="A50" s="2" t="n">
        <v>2020</v>
      </c>
      <c r="B50" s="2" t="s">
        <v>9</v>
      </c>
      <c r="C50" s="2" t="s">
        <v>69</v>
      </c>
      <c r="D50" s="2" t="n">
        <v>1611.88</v>
      </c>
      <c r="E50" s="2" t="n">
        <v>96363</v>
      </c>
      <c r="F50" s="2"/>
      <c r="G50" s="2" t="n">
        <v>182</v>
      </c>
      <c r="H50" s="4" t="n">
        <f aca="false">IF(D38&gt;0,(D50-D38)/D38,"")</f>
        <v>0.755191375837099</v>
      </c>
      <c r="I50" s="4" t="n">
        <f aca="false">IF(E38&gt;0,(E50-E38)/E38,"")</f>
        <v>0.935</v>
      </c>
    </row>
    <row r="51" customFormat="false" ht="15" hidden="false" customHeight="false" outlineLevel="0" collapsed="false">
      <c r="A51" s="3" t="n">
        <v>2020</v>
      </c>
      <c r="B51" s="3" t="s">
        <v>11</v>
      </c>
      <c r="C51" s="3" t="s">
        <v>70</v>
      </c>
      <c r="D51" s="3" t="n">
        <v>1806.42</v>
      </c>
      <c r="E51" s="3" t="n">
        <v>112329</v>
      </c>
      <c r="F51" s="3"/>
      <c r="G51" s="3" t="n">
        <v>185</v>
      </c>
      <c r="H51" s="5" t="n">
        <f aca="false">IF(D39&gt;0,(D51-D39)/D39,"")</f>
        <v>0.89033182993062</v>
      </c>
      <c r="I51" s="5" t="n">
        <f aca="false">IF(E39&gt;0,(E51-E39)/E39,"")</f>
        <v>1.0951430596486</v>
      </c>
    </row>
    <row r="52" customFormat="false" ht="15" hidden="false" customHeight="false" outlineLevel="0" collapsed="false">
      <c r="A52" s="2" t="n">
        <v>2020</v>
      </c>
      <c r="B52" s="2" t="s">
        <v>13</v>
      </c>
      <c r="C52" s="2" t="s">
        <v>71</v>
      </c>
      <c r="D52" s="2" t="n">
        <v>2007.02</v>
      </c>
      <c r="E52" s="2" t="n">
        <v>123591</v>
      </c>
      <c r="F52" s="2"/>
      <c r="G52" s="2" t="n">
        <v>188</v>
      </c>
      <c r="H52" s="4" t="n">
        <f aca="false">IF(D40&gt;0,(D52-D40)/D40,"")</f>
        <v>1.00547578364659</v>
      </c>
      <c r="I52" s="4" t="n">
        <f aca="false">IF(E40&gt;0,(E52-E40)/E40,"")</f>
        <v>1.06036509127282</v>
      </c>
    </row>
    <row r="53" customFormat="false" ht="15" hidden="false" customHeight="false" outlineLevel="0" collapsed="false">
      <c r="A53" s="3" t="n">
        <v>2020</v>
      </c>
      <c r="B53" s="3" t="s">
        <v>15</v>
      </c>
      <c r="C53" s="3" t="s">
        <v>72</v>
      </c>
      <c r="D53" s="3" t="n">
        <v>2212.28</v>
      </c>
      <c r="E53" s="3" t="n">
        <v>137054</v>
      </c>
      <c r="F53" s="3"/>
      <c r="G53" s="3" t="n">
        <v>190</v>
      </c>
      <c r="H53" s="5" t="n">
        <f aca="false">IF(D41&gt;0,(D53-D41)/D41,"")</f>
        <v>1.03175827708132</v>
      </c>
      <c r="I53" s="5" t="n">
        <f aca="false">IF(E41&gt;0,(E53-E41)/E41,"")</f>
        <v>1.1746663916348</v>
      </c>
    </row>
    <row r="54" customFormat="false" ht="15" hidden="false" customHeight="false" outlineLevel="0" collapsed="false">
      <c r="A54" s="2" t="n">
        <v>2020</v>
      </c>
      <c r="B54" s="2" t="s">
        <v>17</v>
      </c>
      <c r="C54" s="2" t="s">
        <v>73</v>
      </c>
      <c r="D54" s="2" t="n">
        <v>2231.19</v>
      </c>
      <c r="E54" s="2" t="n">
        <v>137867</v>
      </c>
      <c r="F54" s="2"/>
      <c r="G54" s="2" t="n">
        <v>191</v>
      </c>
      <c r="H54" s="4" t="n">
        <f aca="false">IF(D42&gt;0,(D54-D42)/D42,"")</f>
        <v>0.705033662186017</v>
      </c>
      <c r="I54" s="4" t="n">
        <f aca="false">IF(E42&gt;0,(E54-E42)/E42,"")</f>
        <v>0.795961701296164</v>
      </c>
    </row>
    <row r="55" customFormat="false" ht="15" hidden="false" customHeight="false" outlineLevel="0" collapsed="false">
      <c r="A55" s="3" t="n">
        <v>2021</v>
      </c>
      <c r="B55" s="3" t="s">
        <v>19</v>
      </c>
      <c r="C55" s="3" t="s">
        <v>74</v>
      </c>
      <c r="D55" s="3" t="n">
        <v>2303.97</v>
      </c>
      <c r="E55" s="3" t="n">
        <v>142470</v>
      </c>
      <c r="F55" s="3"/>
      <c r="G55" s="3" t="n">
        <v>193</v>
      </c>
      <c r="H55" s="5" t="n">
        <f aca="false">IF(D43&gt;0,(D55-D43)/D43,"")</f>
        <v>0.761956837613374</v>
      </c>
      <c r="I55" s="5" t="n">
        <f aca="false">IF(E43&gt;0,(E55-E43)/E43,"")</f>
        <v>0.857060924424516</v>
      </c>
    </row>
    <row r="56" customFormat="false" ht="15" hidden="false" customHeight="false" outlineLevel="0" collapsed="false">
      <c r="A56" s="2" t="n">
        <v>2021</v>
      </c>
      <c r="B56" s="2" t="s">
        <v>21</v>
      </c>
      <c r="C56" s="2" t="s">
        <v>75</v>
      </c>
      <c r="D56" s="2" t="n">
        <v>2292.11</v>
      </c>
      <c r="E56" s="2" t="n">
        <v>138745</v>
      </c>
      <c r="F56" s="2"/>
      <c r="G56" s="2" t="n">
        <v>195</v>
      </c>
      <c r="H56" s="4" t="n">
        <f aca="false">IF(D44&gt;0,(D56-D44)/D44,"")</f>
        <v>0.725012229539041</v>
      </c>
      <c r="I56" s="4" t="n">
        <f aca="false">IF(E44&gt;0,(E56-E44)/E44,"")</f>
        <v>0.768984598123215</v>
      </c>
    </row>
    <row r="57" customFormat="false" ht="15" hidden="false" customHeight="false" outlineLevel="0" collapsed="false">
      <c r="A57" s="3" t="n">
        <v>2021</v>
      </c>
      <c r="B57" s="3" t="s">
        <v>23</v>
      </c>
      <c r="C57" s="3" t="s">
        <v>76</v>
      </c>
      <c r="D57" s="3" t="n">
        <v>2732.76</v>
      </c>
      <c r="E57" s="3" t="n">
        <v>162068</v>
      </c>
      <c r="F57" s="3"/>
      <c r="G57" s="3" t="n">
        <v>198</v>
      </c>
      <c r="H57" s="5" t="n">
        <f aca="false">IF(D45&gt;0,(D57-D45)/D45,"")</f>
        <v>1.18673281587581</v>
      </c>
      <c r="I57" s="5" t="n">
        <f aca="false">IF(E45&gt;0,(E57-E45)/E45,"")</f>
        <v>1.24206958566784</v>
      </c>
    </row>
    <row r="58" customFormat="false" ht="15" hidden="false" customHeight="false" outlineLevel="0" collapsed="false">
      <c r="A58" s="2" t="n">
        <v>2021</v>
      </c>
      <c r="B58" s="2" t="s">
        <v>25</v>
      </c>
      <c r="C58" s="2" t="s">
        <v>77</v>
      </c>
      <c r="D58" s="2" t="n">
        <v>2642.22</v>
      </c>
      <c r="E58" s="2" t="n">
        <v>157989</v>
      </c>
      <c r="F58" s="2"/>
      <c r="G58" s="2" t="n">
        <v>199</v>
      </c>
      <c r="H58" s="4" t="n">
        <f aca="false">IF(D46&gt;0,(D58-D46)/D46,"")</f>
        <v>1.64388564795821</v>
      </c>
      <c r="I58" s="4" t="n">
        <f aca="false">IF(E46&gt;0,(E58-E46)/E46,"")</f>
        <v>1.87059614441194</v>
      </c>
    </row>
    <row r="59" customFormat="false" ht="15" hidden="false" customHeight="false" outlineLevel="0" collapsed="false">
      <c r="A59" s="3" t="n">
        <v>2021</v>
      </c>
      <c r="B59" s="3" t="s">
        <v>27</v>
      </c>
      <c r="C59" s="3" t="s">
        <v>78</v>
      </c>
      <c r="D59" s="3" t="n">
        <v>2538.47</v>
      </c>
      <c r="E59" s="3" t="n">
        <v>150680</v>
      </c>
      <c r="F59" s="3"/>
      <c r="G59" s="3" t="n">
        <v>201</v>
      </c>
      <c r="H59" s="5" t="n">
        <f aca="false">IF(D47&gt;0,(D59-D47)/D47,"")</f>
        <v>1.05987795575896</v>
      </c>
      <c r="I59" s="5" t="n">
        <f aca="false">IF(E47&gt;0,(E59-E47)/E47,"")</f>
        <v>1.05872306704376</v>
      </c>
    </row>
    <row r="60" customFormat="false" ht="15" hidden="false" customHeight="false" outlineLevel="0" collapsed="false">
      <c r="A60" s="2" t="n">
        <v>2021</v>
      </c>
      <c r="B60" s="2" t="s">
        <v>29</v>
      </c>
      <c r="C60" s="2" t="s">
        <v>79</v>
      </c>
      <c r="D60" s="2" t="n">
        <v>2802.92</v>
      </c>
      <c r="E60" s="2" t="n">
        <v>170673</v>
      </c>
      <c r="F60" s="2"/>
      <c r="G60" s="2" t="n">
        <v>203</v>
      </c>
      <c r="H60" s="4" t="n">
        <f aca="false">IF(D48&gt;0,(D60-D48)/D48,"")</f>
        <v>1.09062362479582</v>
      </c>
      <c r="I60" s="4" t="n">
        <f aca="false">IF(E48&gt;0,(E60-E48)/E48,"")</f>
        <v>1.0719280355452</v>
      </c>
    </row>
    <row r="61" customFormat="false" ht="15" hidden="false" customHeight="false" outlineLevel="0" collapsed="false">
      <c r="A61" s="3" t="n">
        <v>2021</v>
      </c>
      <c r="B61" s="3" t="s">
        <v>31</v>
      </c>
      <c r="C61" s="3" t="s">
        <v>80</v>
      </c>
      <c r="D61" s="3" t="n">
        <v>3239.42</v>
      </c>
      <c r="E61" s="3" t="n">
        <v>196888</v>
      </c>
      <c r="F61" s="3"/>
      <c r="G61" s="3" t="n">
        <v>205</v>
      </c>
      <c r="H61" s="5" t="n">
        <f aca="false">IF(D49&gt;0,(D61-D49)/D49,"")</f>
        <v>1.16612615263225</v>
      </c>
      <c r="I61" s="5" t="n">
        <f aca="false">IF(E49&gt;0,(E61-E49)/E49,"")</f>
        <v>1.17724206568617</v>
      </c>
    </row>
    <row r="62" customFormat="false" ht="15" hidden="false" customHeight="false" outlineLevel="0" collapsed="false">
      <c r="A62" s="2" t="n">
        <v>2021</v>
      </c>
      <c r="B62" s="2" t="s">
        <v>9</v>
      </c>
      <c r="C62" s="2" t="s">
        <v>81</v>
      </c>
      <c r="D62" s="2" t="n">
        <v>3554.82</v>
      </c>
      <c r="E62" s="2" t="n">
        <v>214578</v>
      </c>
      <c r="F62" s="2"/>
      <c r="G62" s="2" t="n">
        <v>208</v>
      </c>
      <c r="H62" s="4" t="n">
        <f aca="false">IF(D50&gt;0,(D62-D50)/D50,"")</f>
        <v>1.20538749782862</v>
      </c>
      <c r="I62" s="4" t="n">
        <f aca="false">IF(E50&gt;0,(E62-E50)/E50,"")</f>
        <v>1.22676753525731</v>
      </c>
    </row>
    <row r="63" customFormat="false" ht="15" hidden="false" customHeight="false" outlineLevel="0" collapsed="false">
      <c r="A63" s="3" t="n">
        <v>2021</v>
      </c>
      <c r="B63" s="3" t="s">
        <v>11</v>
      </c>
      <c r="C63" s="3" t="s">
        <v>82</v>
      </c>
      <c r="D63" s="3" t="n">
        <v>3650.59</v>
      </c>
      <c r="E63" s="3" t="n">
        <v>221544</v>
      </c>
      <c r="F63" s="3"/>
      <c r="G63" s="3" t="n">
        <v>210</v>
      </c>
      <c r="H63" s="5" t="n">
        <f aca="false">IF(D51&gt;0,(D63-D51)/D51,"")</f>
        <v>1.0208976871381</v>
      </c>
      <c r="I63" s="5" t="n">
        <f aca="false">IF(E51&gt;0,(E63-E51)/E51,"")</f>
        <v>0.972277862350773</v>
      </c>
    </row>
    <row r="64" customFormat="false" ht="15" hidden="false" customHeight="false" outlineLevel="0" collapsed="false">
      <c r="A64" s="2" t="n">
        <v>2021</v>
      </c>
      <c r="B64" s="2" t="s">
        <v>13</v>
      </c>
      <c r="C64" s="2" t="s">
        <v>83</v>
      </c>
      <c r="D64" s="2" t="n">
        <v>4214.87</v>
      </c>
      <c r="E64" s="2" t="n">
        <v>253085</v>
      </c>
      <c r="F64" s="2"/>
      <c r="G64" s="2" t="n">
        <v>213</v>
      </c>
      <c r="H64" s="4" t="n">
        <f aca="false">IF(D52&gt;0,(D64-D52)/D52,"")</f>
        <v>1.10006377614573</v>
      </c>
      <c r="I64" s="4" t="n">
        <f aca="false">IF(E52&gt;0,(E64-E52)/E52,"")</f>
        <v>1.0477623775194</v>
      </c>
    </row>
    <row r="65" customFormat="false" ht="15" hidden="false" customHeight="false" outlineLevel="0" collapsed="false">
      <c r="A65" s="3" t="n">
        <v>2021</v>
      </c>
      <c r="B65" s="3" t="s">
        <v>15</v>
      </c>
      <c r="C65" s="3" t="s">
        <v>84</v>
      </c>
      <c r="D65" s="3" t="n">
        <v>4179.67</v>
      </c>
      <c r="E65" s="3" t="n">
        <v>252534</v>
      </c>
      <c r="F65" s="3"/>
      <c r="G65" s="3" t="n">
        <v>215</v>
      </c>
      <c r="H65" s="5" t="n">
        <f aca="false">IF(D53&gt;0,(D65-D53)/D53,"")</f>
        <v>0.889304247201982</v>
      </c>
      <c r="I65" s="5" t="n">
        <f aca="false">IF(E53&gt;0,(E65-E53)/E53,"")</f>
        <v>0.842587593211435</v>
      </c>
    </row>
    <row r="66" customFormat="false" ht="15" hidden="false" customHeight="false" outlineLevel="0" collapsed="false">
      <c r="A66" s="2" t="n">
        <v>2021</v>
      </c>
      <c r="B66" s="2" t="s">
        <v>17</v>
      </c>
      <c r="C66" s="2" t="s">
        <v>85</v>
      </c>
      <c r="D66" s="2" t="n">
        <v>4560.79</v>
      </c>
      <c r="E66" s="2" t="n">
        <v>275688</v>
      </c>
      <c r="F66" s="2"/>
      <c r="G66" s="2" t="n">
        <v>217</v>
      </c>
      <c r="H66" s="4" t="n">
        <f aca="false">IF(D54&gt;0,(D66-D54)/D54,"")</f>
        <v>1.04410650818621</v>
      </c>
      <c r="I66" s="4" t="n">
        <f aca="false">IF(E54&gt;0,(E66-E54)/E54,"")</f>
        <v>0.999666345100713</v>
      </c>
    </row>
    <row r="67" customFormat="false" ht="15" hidden="false" customHeight="false" outlineLevel="0" collapsed="false">
      <c r="A67" s="3" t="n">
        <v>2022</v>
      </c>
      <c r="B67" s="3" t="s">
        <v>19</v>
      </c>
      <c r="C67" s="3" t="s">
        <v>86</v>
      </c>
      <c r="D67" s="3" t="n">
        <v>4608.13</v>
      </c>
      <c r="E67" s="3" t="n">
        <v>278571</v>
      </c>
      <c r="F67" s="3"/>
      <c r="G67" s="3" t="n">
        <v>219</v>
      </c>
      <c r="H67" s="5" t="n">
        <f aca="false">IF(D55&gt;0,(D67-D55)/D55,"")</f>
        <v>1.00008246635156</v>
      </c>
      <c r="I67" s="5" t="n">
        <f aca="false">IF(E55&gt;0,(E67-E55)/E55,"")</f>
        <v>0.955295851758265</v>
      </c>
    </row>
    <row r="68" customFormat="false" ht="15" hidden="false" customHeight="false" outlineLevel="0" collapsed="false">
      <c r="A68" s="2" t="n">
        <v>2022</v>
      </c>
      <c r="B68" s="2" t="s">
        <v>21</v>
      </c>
      <c r="C68" s="2" t="s">
        <v>87</v>
      </c>
      <c r="D68" s="2" t="n">
        <v>4525.37</v>
      </c>
      <c r="E68" s="2" t="n">
        <v>274058</v>
      </c>
      <c r="F68" s="2"/>
      <c r="G68" s="2" t="n">
        <v>221</v>
      </c>
      <c r="H68" s="4" t="n">
        <f aca="false">IF(D56&gt;0,(D68-D56)/D56,"")</f>
        <v>0.974324966951848</v>
      </c>
      <c r="I68" s="4" t="n">
        <f aca="false">IF(E56&gt;0,(E68-E56)/E56,"")</f>
        <v>0.975263973476522</v>
      </c>
    </row>
    <row r="69" customFormat="false" ht="15" hidden="false" customHeight="false" outlineLevel="0" collapsed="false">
      <c r="A69" s="3" t="n">
        <v>2022</v>
      </c>
      <c r="B69" s="3" t="s">
        <v>23</v>
      </c>
      <c r="C69" s="3" t="s">
        <v>88</v>
      </c>
      <c r="D69" s="3" t="n">
        <v>5412.57</v>
      </c>
      <c r="E69" s="3" t="n">
        <v>323991</v>
      </c>
      <c r="F69" s="3"/>
      <c r="G69" s="3" t="n">
        <v>223</v>
      </c>
      <c r="H69" s="5" t="n">
        <f aca="false">IF(D57&gt;0,(D69-D57)/D57,"")</f>
        <v>0.980623984543099</v>
      </c>
      <c r="I69" s="5" t="n">
        <f aca="false">IF(E57&gt;0,(E69-E57)/E57,"")</f>
        <v>0.999105313818891</v>
      </c>
    </row>
    <row r="70" customFormat="false" ht="15" hidden="false" customHeight="false" outlineLevel="0" collapsed="false">
      <c r="A70" s="2" t="n">
        <v>2022</v>
      </c>
      <c r="B70" s="2" t="s">
        <v>25</v>
      </c>
      <c r="C70" s="2" t="s">
        <v>89</v>
      </c>
      <c r="D70" s="2" t="n">
        <v>5580.24</v>
      </c>
      <c r="E70" s="2" t="n">
        <v>335496</v>
      </c>
      <c r="F70" s="2" t="n">
        <v>1528</v>
      </c>
      <c r="G70" s="2" t="n">
        <v>232</v>
      </c>
      <c r="H70" s="4" t="n">
        <f aca="false">IF(D58&gt;0,(D70-D58)/D58,"")</f>
        <v>1.11195131366805</v>
      </c>
      <c r="I70" s="4" t="n">
        <f aca="false">IF(E58&gt;0,(E70-E58)/E58,"")</f>
        <v>1.12354024647286</v>
      </c>
    </row>
    <row r="71" customFormat="false" ht="15" hidden="false" customHeight="false" outlineLevel="0" collapsed="false">
      <c r="A71" s="3" t="n">
        <v>2022</v>
      </c>
      <c r="B71" s="3" t="s">
        <v>27</v>
      </c>
      <c r="C71" s="3" t="s">
        <v>90</v>
      </c>
      <c r="D71" s="3" t="n">
        <v>5948.48</v>
      </c>
      <c r="E71" s="3" t="n">
        <v>355748</v>
      </c>
      <c r="F71" s="3" t="n">
        <v>1528</v>
      </c>
      <c r="G71" s="3" t="n">
        <v>237</v>
      </c>
      <c r="H71" s="5" t="n">
        <f aca="false">IF(D59&gt;0,(D71-D59)/D59,"")</f>
        <v>1.34333279495129</v>
      </c>
      <c r="I71" s="5" t="n">
        <f aca="false">IF(E59&gt;0,(E71-E59)/E59,"")</f>
        <v>1.36095035837537</v>
      </c>
    </row>
    <row r="72" customFormat="false" ht="15" hidden="false" customHeight="false" outlineLevel="0" collapsed="false">
      <c r="A72" s="2" t="n">
        <v>2022</v>
      </c>
      <c r="B72" s="2" t="s">
        <v>29</v>
      </c>
      <c r="C72" s="2" t="s">
        <v>91</v>
      </c>
      <c r="D72" s="2" t="n">
        <v>5849.8</v>
      </c>
      <c r="E72" s="2" t="n">
        <v>351406</v>
      </c>
      <c r="F72" s="2" t="n">
        <v>1505</v>
      </c>
      <c r="G72" s="2" t="n">
        <v>239</v>
      </c>
      <c r="H72" s="4" t="n">
        <f aca="false">IF(D60&gt;0,(D72-D60)/D60,"")</f>
        <v>1.08703780343356</v>
      </c>
      <c r="I72" s="4" t="n">
        <f aca="false">IF(E60&gt;0,(E72-E60)/E60,"")</f>
        <v>1.05894312515746</v>
      </c>
    </row>
    <row r="73" customFormat="false" ht="15" hidden="false" customHeight="false" outlineLevel="0" collapsed="false">
      <c r="A73" s="3" t="n">
        <v>2022</v>
      </c>
      <c r="B73" s="3" t="s">
        <v>31</v>
      </c>
      <c r="C73" s="3" t="s">
        <v>92</v>
      </c>
      <c r="D73" s="3" t="n">
        <v>6283.7</v>
      </c>
      <c r="E73" s="3" t="n">
        <v>373780</v>
      </c>
      <c r="F73" s="3" t="n">
        <v>1493</v>
      </c>
      <c r="G73" s="3" t="n">
        <v>240</v>
      </c>
      <c r="H73" s="5" t="n">
        <f aca="false">IF(D61&gt;0,(D73-D61)/D61,"")</f>
        <v>0.939760821381605</v>
      </c>
      <c r="I73" s="5" t="n">
        <f aca="false">IF(E61&gt;0,(E73-E61)/E61,"")</f>
        <v>0.898439722075495</v>
      </c>
    </row>
    <row r="74" customFormat="false" ht="15" hidden="false" customHeight="false" outlineLevel="0" collapsed="false">
      <c r="A74" s="2" t="n">
        <v>2022</v>
      </c>
      <c r="B74" s="2" t="s">
        <v>9</v>
      </c>
      <c r="C74" s="2" t="s">
        <v>93</v>
      </c>
      <c r="D74" s="2" t="n">
        <v>6576.63</v>
      </c>
      <c r="E74" s="2" t="n">
        <v>390757</v>
      </c>
      <c r="F74" s="2" t="n">
        <v>1478</v>
      </c>
      <c r="G74" s="2" t="n">
        <v>243</v>
      </c>
      <c r="H74" s="4" t="n">
        <f aca="false">IF(D62&gt;0,(D74-D62)/D62,"")</f>
        <v>0.85005991864567</v>
      </c>
      <c r="I74" s="4" t="n">
        <f aca="false">IF(E62&gt;0,(E74-E62)/E62,"")</f>
        <v>0.82104875616326</v>
      </c>
    </row>
    <row r="75" customFormat="false" ht="15" hidden="false" customHeight="false" outlineLevel="0" collapsed="false">
      <c r="A75" s="3" t="n">
        <v>2022</v>
      </c>
      <c r="B75" s="3" t="s">
        <v>11</v>
      </c>
      <c r="C75" s="3" t="s">
        <v>94</v>
      </c>
      <c r="D75" s="3" t="n">
        <v>6783.34</v>
      </c>
      <c r="E75" s="3" t="n">
        <v>404978</v>
      </c>
      <c r="F75" s="3" t="n">
        <v>1462</v>
      </c>
      <c r="G75" s="3" t="n">
        <v>245</v>
      </c>
      <c r="H75" s="5" t="n">
        <f aca="false">IF(D63&gt;0,(D75-D63)/D63,"")</f>
        <v>0.858148956743978</v>
      </c>
      <c r="I75" s="5" t="n">
        <f aca="false">IF(E63&gt;0,(E75-E63)/E63,"")</f>
        <v>0.827979994944571</v>
      </c>
    </row>
    <row r="76" customFormat="false" ht="15" hidden="false" customHeight="false" outlineLevel="0" collapsed="false">
      <c r="A76" s="2" t="n">
        <v>2022</v>
      </c>
      <c r="B76" s="2" t="s">
        <v>13</v>
      </c>
      <c r="C76" s="2" t="s">
        <v>95</v>
      </c>
      <c r="D76" s="2" t="n">
        <v>7305.16</v>
      </c>
      <c r="E76" s="2" t="n">
        <v>424049</v>
      </c>
      <c r="F76" s="2" t="n">
        <v>1450</v>
      </c>
      <c r="G76" s="2" t="n">
        <v>248</v>
      </c>
      <c r="H76" s="4" t="n">
        <f aca="false">IF(D64&gt;0,(D76-D64)/D64,"")</f>
        <v>0.733187500444854</v>
      </c>
      <c r="I76" s="4" t="n">
        <f aca="false">IF(E64&gt;0,(E76-E64)/E64,"")</f>
        <v>0.675520082185827</v>
      </c>
    </row>
    <row r="77" customFormat="false" ht="15" hidden="false" customHeight="false" outlineLevel="0" collapsed="false">
      <c r="A77" s="3" t="n">
        <v>2022</v>
      </c>
      <c r="B77" s="3" t="s">
        <v>15</v>
      </c>
      <c r="C77" s="3" t="s">
        <v>96</v>
      </c>
      <c r="D77" s="3" t="n">
        <v>7264.95</v>
      </c>
      <c r="E77" s="3" t="n">
        <v>417498</v>
      </c>
      <c r="F77" s="3" t="n">
        <v>1435</v>
      </c>
      <c r="G77" s="3" t="n">
        <v>250</v>
      </c>
      <c r="H77" s="5" t="n">
        <f aca="false">IF(D65&gt;0,(D77-D65)/D65,"")</f>
        <v>0.738163539226781</v>
      </c>
      <c r="I77" s="5" t="n">
        <f aca="false">IF(E65&gt;0,(E77-E65)/E65,"")</f>
        <v>0.653234811946114</v>
      </c>
    </row>
    <row r="78" customFormat="false" ht="15" hidden="false" customHeight="false" outlineLevel="0" collapsed="false">
      <c r="A78" s="2" t="n">
        <v>2022</v>
      </c>
      <c r="B78" s="2" t="s">
        <v>17</v>
      </c>
      <c r="C78" s="2" t="s">
        <v>97</v>
      </c>
      <c r="D78" s="2" t="n">
        <v>7829.5</v>
      </c>
      <c r="E78" s="2" t="n">
        <v>447771</v>
      </c>
      <c r="F78" s="2" t="n">
        <v>1420</v>
      </c>
      <c r="G78" s="2" t="n">
        <v>252</v>
      </c>
      <c r="H78" s="4" t="n">
        <f aca="false">IF(D66&gt;0,(D78-D66)/D66,"")</f>
        <v>0.716698203600692</v>
      </c>
      <c r="I78" s="4" t="n">
        <f aca="false">IF(E66&gt;0,(E78-E66)/E66,"")</f>
        <v>0.624194741882128</v>
      </c>
    </row>
    <row r="79" customFormat="false" ht="15" hidden="false" customHeight="false" outlineLevel="0" collapsed="false">
      <c r="A79" s="3" t="n">
        <v>2023</v>
      </c>
      <c r="B79" s="3" t="s">
        <v>19</v>
      </c>
      <c r="C79" s="3" t="s">
        <v>98</v>
      </c>
      <c r="D79" s="3" t="n">
        <v>8036.76</v>
      </c>
      <c r="E79" s="3" t="n">
        <v>458251</v>
      </c>
      <c r="F79" s="3" t="n">
        <v>1410</v>
      </c>
      <c r="G79" s="3" t="n">
        <v>254</v>
      </c>
      <c r="H79" s="5" t="n">
        <f aca="false">IF(D67&gt;0,(D79-D67)/D67,"")</f>
        <v>0.744039339167949</v>
      </c>
      <c r="I79" s="5" t="n">
        <f aca="false">IF(E67&gt;0,(E79-E67)/E67,"")</f>
        <v>0.645006120522237</v>
      </c>
    </row>
    <row r="80" customFormat="false" ht="15" hidden="false" customHeight="false" outlineLevel="0" collapsed="false">
      <c r="A80" s="2" t="n">
        <v>2023</v>
      </c>
      <c r="B80" s="2" t="s">
        <v>21</v>
      </c>
      <c r="C80" s="2" t="s">
        <v>99</v>
      </c>
      <c r="D80" s="2" t="n">
        <v>7529.75</v>
      </c>
      <c r="E80" s="2" t="n">
        <v>429735</v>
      </c>
      <c r="F80" s="2" t="n">
        <v>1400</v>
      </c>
      <c r="G80" s="2" t="n">
        <v>255</v>
      </c>
      <c r="H80" s="4" t="n">
        <f aca="false">IF(D68&gt;0,(D80-D68)/D68,"")</f>
        <v>0.663897095707091</v>
      </c>
      <c r="I80" s="4" t="n">
        <f aca="false">IF(E68&gt;0,(E80-E68)/E68,"")</f>
        <v>0.568043990688103</v>
      </c>
    </row>
    <row r="81" customFormat="false" ht="15" hidden="false" customHeight="false" outlineLevel="0" collapsed="false">
      <c r="A81" s="3" t="n">
        <v>2023</v>
      </c>
      <c r="B81" s="3" t="s">
        <v>23</v>
      </c>
      <c r="C81" s="3" t="s">
        <v>100</v>
      </c>
      <c r="D81" s="3" t="n">
        <v>8651.23</v>
      </c>
      <c r="E81" s="3" t="n">
        <v>486783</v>
      </c>
      <c r="F81" s="3" t="n">
        <v>1395</v>
      </c>
      <c r="G81" s="3" t="n">
        <v>258</v>
      </c>
      <c r="H81" s="5" t="n">
        <f aca="false">IF(D69&gt;0,(D81-D69)/D69,"")</f>
        <v>0.598359005056748</v>
      </c>
      <c r="I81" s="5" t="n">
        <f aca="false">IF(E69&gt;0,(E81-E69)/E69,"")</f>
        <v>0.502458401622267</v>
      </c>
    </row>
    <row r="82" customFormat="false" ht="15" hidden="false" customHeight="false" outlineLevel="0" collapsed="false">
      <c r="A82" s="2" t="n">
        <v>2023</v>
      </c>
      <c r="B82" s="2" t="s">
        <v>25</v>
      </c>
      <c r="C82" s="2" t="s">
        <v>101</v>
      </c>
      <c r="D82" s="2" t="n">
        <v>8893.77</v>
      </c>
      <c r="E82" s="2" t="n">
        <v>500925</v>
      </c>
      <c r="F82" s="2" t="n">
        <v>1390</v>
      </c>
      <c r="G82" s="2" t="n">
        <v>261</v>
      </c>
      <c r="H82" s="4" t="n">
        <f aca="false">IF(D70&gt;0,(D82-D70)/D70,"")</f>
        <v>0.593797040987485</v>
      </c>
      <c r="I82" s="4" t="n">
        <f aca="false">IF(E70&gt;0,(E82-E70)/E70,"")</f>
        <v>0.493087846054797</v>
      </c>
    </row>
    <row r="83" customFormat="false" ht="15" hidden="false" customHeight="false" outlineLevel="0" collapsed="false">
      <c r="A83" s="3" t="n">
        <v>2023</v>
      </c>
      <c r="B83" s="3" t="s">
        <v>27</v>
      </c>
      <c r="C83" s="3" t="s">
        <v>102</v>
      </c>
      <c r="D83" s="3" t="n">
        <v>9413.37</v>
      </c>
      <c r="E83" s="3" t="n">
        <v>528788</v>
      </c>
      <c r="F83" s="3" t="n">
        <v>1380</v>
      </c>
      <c r="G83" s="3" t="n">
        <v>263</v>
      </c>
      <c r="H83" s="5" t="n">
        <f aca="false">IF(D71&gt;0,(D83-D71)/D71,"")</f>
        <v>0.582483256226801</v>
      </c>
      <c r="I83" s="5" t="n">
        <f aca="false">IF(E71&gt;0,(E83-E71)/E71,"")</f>
        <v>0.486411729651326</v>
      </c>
    </row>
    <row r="84" customFormat="false" ht="15" hidden="false" customHeight="false" outlineLevel="0" collapsed="false">
      <c r="A84" s="2" t="n">
        <v>2023</v>
      </c>
      <c r="B84" s="2" t="s">
        <v>29</v>
      </c>
      <c r="C84" s="2" t="s">
        <v>103</v>
      </c>
      <c r="D84" s="2" t="n">
        <v>9330.71</v>
      </c>
      <c r="E84" s="2" t="n">
        <v>521562</v>
      </c>
      <c r="F84" s="2" t="n">
        <v>1365</v>
      </c>
      <c r="G84" s="2" t="n">
        <v>265</v>
      </c>
      <c r="H84" s="4" t="n">
        <f aca="false">IF(D72&gt;0,(D84-D72)/D72,"")</f>
        <v>0.595047693938254</v>
      </c>
      <c r="I84" s="4" t="n">
        <f aca="false">IF(E72&gt;0,(E84-E72)/E72,"")</f>
        <v>0.484214839814915</v>
      </c>
    </row>
    <row r="85" customFormat="false" ht="15" hidden="false" customHeight="false" outlineLevel="0" collapsed="false">
      <c r="A85" s="3" t="n">
        <v>2023</v>
      </c>
      <c r="B85" s="3" t="s">
        <v>31</v>
      </c>
      <c r="C85" s="3" t="s">
        <v>104</v>
      </c>
      <c r="D85" s="3" t="n">
        <v>9963.4</v>
      </c>
      <c r="E85" s="3" t="n">
        <v>551477</v>
      </c>
      <c r="F85" s="3" t="n">
        <v>1356</v>
      </c>
      <c r="G85" s="3" t="n">
        <v>267</v>
      </c>
      <c r="H85" s="5" t="n">
        <f aca="false">IF(D73&gt;0,(D85-D73)/D73,"")</f>
        <v>0.585594474592995</v>
      </c>
      <c r="I85" s="5" t="n">
        <f aca="false">IF(E73&gt;0,(E85-E73)/E73,"")</f>
        <v>0.475405318636631</v>
      </c>
    </row>
    <row r="86" customFormat="false" ht="15" hidden="false" customHeight="false" outlineLevel="0" collapsed="false">
      <c r="A86" s="2" t="n">
        <v>2023</v>
      </c>
      <c r="B86" s="2" t="s">
        <v>9</v>
      </c>
      <c r="C86" s="2" t="s">
        <v>105</v>
      </c>
      <c r="D86" s="2" t="n">
        <v>10584.08</v>
      </c>
      <c r="E86" s="2" t="n">
        <v>578074</v>
      </c>
      <c r="F86" s="2" t="n">
        <v>1350</v>
      </c>
      <c r="G86" s="2" t="n">
        <v>268</v>
      </c>
      <c r="H86" s="4" t="n">
        <f aca="false">IF(D74&gt;0,(D86-D74)/D74,"")</f>
        <v>0.609347036400102</v>
      </c>
      <c r="I86" s="4" t="n">
        <f aca="false">IF(E74&gt;0,(E86-E74)/E74,"")</f>
        <v>0.479369531447933</v>
      </c>
    </row>
    <row r="87" customFormat="false" ht="15" hidden="false" customHeight="false" outlineLevel="0" collapsed="false">
      <c r="A87" s="3" t="n">
        <v>2023</v>
      </c>
      <c r="B87" s="3" t="s">
        <v>11</v>
      </c>
      <c r="C87" s="3" t="s">
        <v>106</v>
      </c>
      <c r="D87" s="3" t="n">
        <v>10560.26</v>
      </c>
      <c r="E87" s="3" t="n">
        <v>572262</v>
      </c>
      <c r="F87" s="3" t="n">
        <v>1348</v>
      </c>
      <c r="G87" s="3" t="n">
        <v>270</v>
      </c>
      <c r="H87" s="5" t="n">
        <f aca="false">IF(D75&gt;0,(D87-D75)/D75,"")</f>
        <v>0.556793555976849</v>
      </c>
      <c r="I87" s="5" t="n">
        <f aca="false">IF(E75&gt;0,(E87-E75)/E75,"")</f>
        <v>0.413069351915413</v>
      </c>
    </row>
    <row r="88" customFormat="false" ht="15" hidden="false" customHeight="false" outlineLevel="0" collapsed="false">
      <c r="A88" s="2" t="n">
        <v>2023</v>
      </c>
      <c r="B88" s="2" t="s">
        <v>13</v>
      </c>
      <c r="C88" s="2" t="s">
        <v>107</v>
      </c>
      <c r="D88" s="2" t="n">
        <v>11406.54</v>
      </c>
      <c r="E88" s="2" t="n">
        <v>619994</v>
      </c>
      <c r="F88" s="2" t="n">
        <v>1342</v>
      </c>
      <c r="G88" s="2" t="n">
        <v>272</v>
      </c>
      <c r="H88" s="4" t="n">
        <f aca="false">IF(D76&gt;0,(D88-D76)/D76,"")</f>
        <v>0.561436026041867</v>
      </c>
      <c r="I88" s="4" t="n">
        <f aca="false">IF(E76&gt;0,(E88-E76)/E76,"")</f>
        <v>0.462081033088157</v>
      </c>
    </row>
    <row r="89" customFormat="false" ht="15" hidden="false" customHeight="false" outlineLevel="0" collapsed="false">
      <c r="A89" s="3" t="n">
        <v>2023</v>
      </c>
      <c r="B89" s="3" t="s">
        <v>15</v>
      </c>
      <c r="C89" s="3" t="s">
        <v>108</v>
      </c>
      <c r="D89" s="3" t="n">
        <v>11234.87</v>
      </c>
      <c r="E89" s="3" t="n">
        <v>606479</v>
      </c>
      <c r="F89" s="3" t="n">
        <v>1336</v>
      </c>
      <c r="G89" s="3" t="n">
        <v>273</v>
      </c>
      <c r="H89" s="5" t="n">
        <f aca="false">IF(D77&gt;0,(D89-D77)/D77,"")</f>
        <v>0.546448358213064</v>
      </c>
      <c r="I89" s="5" t="n">
        <f aca="false">IF(E77&gt;0,(E89-E77)/E77,"")</f>
        <v>0.452651270185725</v>
      </c>
    </row>
    <row r="90" customFormat="false" ht="15" hidden="false" customHeight="false" outlineLevel="0" collapsed="false">
      <c r="A90" s="2" t="n">
        <v>2023</v>
      </c>
      <c r="B90" s="2" t="s">
        <v>17</v>
      </c>
      <c r="C90" s="2" t="s">
        <v>109</v>
      </c>
      <c r="D90" s="2" t="n">
        <v>12020.39</v>
      </c>
      <c r="E90" s="2" t="n">
        <v>644293</v>
      </c>
      <c r="F90" s="2" t="n">
        <v>1330</v>
      </c>
      <c r="G90" s="2" t="n">
        <v>275</v>
      </c>
      <c r="H90" s="4" t="n">
        <f aca="false">IF(D78&gt;0,(D90-D78)/D78,"")</f>
        <v>0.535269174276774</v>
      </c>
      <c r="I90" s="4" t="n">
        <f aca="false">IF(E78&gt;0,(E90-E78)/E78,"")</f>
        <v>0.438889521652809</v>
      </c>
    </row>
    <row r="91" customFormat="false" ht="15" hidden="false" customHeight="false" outlineLevel="0" collapsed="false">
      <c r="A91" s="3" t="n">
        <v>2024</v>
      </c>
      <c r="B91" s="3" t="s">
        <v>19</v>
      </c>
      <c r="C91" s="3" t="s">
        <v>110</v>
      </c>
      <c r="D91" s="3" t="n">
        <v>12189.28</v>
      </c>
      <c r="E91" s="3" t="n">
        <v>661540</v>
      </c>
      <c r="F91" s="3" t="n">
        <v>1325</v>
      </c>
      <c r="G91" s="3" t="n">
        <v>278</v>
      </c>
      <c r="H91" s="5" t="n">
        <f aca="false">IF(D79&gt;0,(D91-D79)/D79,"")</f>
        <v>0.51669080574759</v>
      </c>
      <c r="I91" s="5" t="n">
        <f aca="false">IF(E79&gt;0,(E91-E79)/E79,"")</f>
        <v>0.443619326526292</v>
      </c>
    </row>
    <row r="92" customFormat="false" ht="15" hidden="false" customHeight="false" outlineLevel="0" collapsed="false">
      <c r="A92" s="2" t="n">
        <v>2024</v>
      </c>
      <c r="B92" s="2" t="s">
        <v>21</v>
      </c>
      <c r="C92" s="2" t="s">
        <v>111</v>
      </c>
      <c r="D92" s="2" t="n">
        <v>12060.37</v>
      </c>
      <c r="E92" s="2" t="n">
        <v>648479</v>
      </c>
      <c r="F92" s="2" t="n">
        <v>1320</v>
      </c>
      <c r="G92" s="2" t="n">
        <v>280</v>
      </c>
      <c r="H92" s="4" t="n">
        <f aca="false">IF(D80&gt;0,(D92-D80)/D80,"")</f>
        <v>0.601695939440221</v>
      </c>
      <c r="I92" s="4" t="n">
        <f aca="false">IF(E80&gt;0,(E92-E80)/E80,"")</f>
        <v>0.509020675532596</v>
      </c>
    </row>
    <row r="93" customFormat="false" ht="15" hidden="false" customHeight="false" outlineLevel="0" collapsed="false">
      <c r="A93" s="3" t="n">
        <v>2024</v>
      </c>
      <c r="B93" s="3" t="s">
        <v>23</v>
      </c>
      <c r="C93" s="3" t="s">
        <v>112</v>
      </c>
      <c r="D93" s="3" t="n">
        <v>13444.9</v>
      </c>
      <c r="E93" s="3" t="n">
        <v>724701</v>
      </c>
      <c r="F93" s="3" t="n">
        <v>1315</v>
      </c>
      <c r="G93" s="3" t="n">
        <v>283</v>
      </c>
      <c r="H93" s="5" t="n">
        <f aca="false">IF(D81&gt;0,(D93-D81)/D81,"")</f>
        <v>0.554102711406355</v>
      </c>
      <c r="I93" s="5" t="n">
        <f aca="false">IF(E81&gt;0,(E93-E81)/E81,"")</f>
        <v>0.488755770024837</v>
      </c>
    </row>
    <row r="94" customFormat="false" ht="15" hidden="false" customHeight="false" outlineLevel="0" collapsed="false">
      <c r="A94" s="2" t="n">
        <v>2024</v>
      </c>
      <c r="B94" s="2" t="s">
        <v>25</v>
      </c>
      <c r="C94" s="2" t="s">
        <v>113</v>
      </c>
      <c r="D94" s="2" t="n">
        <v>13302.51</v>
      </c>
      <c r="E94" s="2" t="n">
        <v>716765</v>
      </c>
      <c r="F94" s="2" t="n">
        <v>1310</v>
      </c>
      <c r="G94" s="2" t="n">
        <v>285</v>
      </c>
      <c r="H94" s="4" t="n">
        <f aca="false">IF(D82&gt;0,(D94-D82)/D82,"")</f>
        <v>0.495711042673692</v>
      </c>
      <c r="I94" s="4" t="n">
        <f aca="false">IF(E82&gt;0,(E94-E82)/E82,"")</f>
        <v>0.430882866696611</v>
      </c>
    </row>
    <row r="95" customFormat="false" ht="15" hidden="false" customHeight="false" outlineLevel="0" collapsed="false">
      <c r="A95" s="3" t="n">
        <v>2024</v>
      </c>
      <c r="B95" s="3" t="s">
        <v>27</v>
      </c>
      <c r="C95" s="3" t="s">
        <v>114</v>
      </c>
      <c r="D95" s="3" t="n">
        <v>14036.76</v>
      </c>
      <c r="E95" s="3" t="n">
        <v>754267</v>
      </c>
      <c r="F95" s="3" t="n">
        <v>1305</v>
      </c>
      <c r="G95" s="3" t="n">
        <v>287</v>
      </c>
      <c r="H95" s="5" t="n">
        <f aca="false">IF(D83&gt;0,(D95-D83)/D83,"")</f>
        <v>0.491151415486696</v>
      </c>
      <c r="I95" s="5" t="n">
        <f aca="false">IF(E83&gt;0,(E95-E83)/E83,"")</f>
        <v>0.426407180193197</v>
      </c>
    </row>
    <row r="96" customFormat="false" ht="15" hidden="false" customHeight="false" outlineLevel="0" collapsed="false">
      <c r="A96" s="2" t="n">
        <v>2024</v>
      </c>
      <c r="B96" s="2" t="s">
        <v>29</v>
      </c>
      <c r="C96" s="2" t="s">
        <v>115</v>
      </c>
      <c r="D96" s="2" t="n">
        <v>13886.55</v>
      </c>
      <c r="E96" s="2" t="n">
        <v>733434</v>
      </c>
      <c r="F96" s="2" t="n">
        <v>1300</v>
      </c>
      <c r="G96" s="2" t="n">
        <v>289</v>
      </c>
      <c r="H96" s="4" t="n">
        <f aca="false">IF(D84&gt;0,(D96-D84)/D84,"")</f>
        <v>0.488262951050885</v>
      </c>
      <c r="I96" s="4" t="n">
        <f aca="false">IF(E84&gt;0,(E96-E84)/E84,"")</f>
        <v>0.4062259136977</v>
      </c>
    </row>
    <row r="97" customFormat="false" ht="15" hidden="false" customHeight="false" outlineLevel="0" collapsed="false">
      <c r="A97" s="3" t="n">
        <v>2024</v>
      </c>
      <c r="B97" s="3" t="s">
        <v>31</v>
      </c>
      <c r="C97" s="3" t="s">
        <v>116</v>
      </c>
      <c r="D97" s="3" t="n">
        <v>14439.96</v>
      </c>
      <c r="E97" s="3" t="n">
        <v>765215</v>
      </c>
      <c r="F97" s="3" t="n">
        <v>1310</v>
      </c>
      <c r="G97" s="3" t="n">
        <v>290</v>
      </c>
      <c r="H97" s="5" t="n">
        <f aca="false">IF(D85&gt;0,(D97-D85)/D85,"")</f>
        <v>0.449300439608969</v>
      </c>
      <c r="I97" s="5" t="n">
        <f aca="false">IF(E85&gt;0,(E97-E85)/E85,"")</f>
        <v>0.387573733809388</v>
      </c>
    </row>
    <row r="98" customFormat="false" ht="15" hidden="false" customHeight="false" outlineLevel="0" collapsed="false">
      <c r="A98" s="2" t="n">
        <v>2024</v>
      </c>
      <c r="B98" s="2" t="s">
        <v>9</v>
      </c>
      <c r="C98" s="2" t="s">
        <v>117</v>
      </c>
      <c r="D98" s="2" t="n">
        <v>14963.78</v>
      </c>
      <c r="E98" s="2" t="n">
        <v>793980</v>
      </c>
      <c r="F98" s="2" t="n">
        <v>1320</v>
      </c>
      <c r="G98" s="2" t="n">
        <v>292</v>
      </c>
      <c r="H98" s="4" t="n">
        <f aca="false">IF(D86&gt;0,(D98-D86)/D86,"")</f>
        <v>0.413800727129803</v>
      </c>
      <c r="I98" s="4" t="n">
        <f aca="false">IF(E86&gt;0,(E98-E86)/E86,"")</f>
        <v>0.373491975075855</v>
      </c>
    </row>
    <row r="99" customFormat="false" ht="15" hidden="false" customHeight="false" outlineLevel="0" collapsed="false">
      <c r="A99" s="3" t="n">
        <v>2024</v>
      </c>
      <c r="B99" s="3" t="s">
        <v>11</v>
      </c>
      <c r="C99" s="3" t="s">
        <v>118</v>
      </c>
      <c r="D99" s="3" t="n">
        <v>15046.41</v>
      </c>
      <c r="E99" s="3" t="n">
        <v>797399</v>
      </c>
      <c r="F99" s="3" t="n">
        <v>1318</v>
      </c>
      <c r="G99" s="3" t="n">
        <v>293</v>
      </c>
      <c r="H99" s="5" t="n">
        <f aca="false">IF(D87&gt;0,(D99-D87)/D87,"")</f>
        <v>0.424814351161809</v>
      </c>
      <c r="I99" s="5" t="n">
        <f aca="false">IF(E87&gt;0,(E99-E87)/E87,"")</f>
        <v>0.393415952832793</v>
      </c>
    </row>
    <row r="100" customFormat="false" ht="15" hidden="false" customHeight="false" outlineLevel="0" collapsed="false">
      <c r="A100" s="2" t="n">
        <v>2024</v>
      </c>
      <c r="B100" s="2" t="s">
        <v>13</v>
      </c>
      <c r="C100" s="2" t="s">
        <v>119</v>
      </c>
      <c r="D100" s="2" t="n">
        <v>16584.41</v>
      </c>
      <c r="E100" s="2" t="n">
        <v>862539</v>
      </c>
      <c r="F100" s="2" t="n">
        <v>1316</v>
      </c>
      <c r="G100" s="2" t="n">
        <v>295</v>
      </c>
      <c r="H100" s="4" t="n">
        <f aca="false">IF(D88&gt;0,(D100-D88)/D88,"")</f>
        <v>0.453938705339218</v>
      </c>
      <c r="I100" s="4" t="n">
        <f aca="false">IF(E88&gt;0,(E100-E88)/E88,"")</f>
        <v>0.391205398761924</v>
      </c>
    </row>
    <row r="101" customFormat="false" ht="15" hidden="false" customHeight="false" outlineLevel="0" collapsed="false">
      <c r="A101" s="3" t="n">
        <v>2024</v>
      </c>
      <c r="B101" s="3" t="s">
        <v>15</v>
      </c>
      <c r="C101" s="3" t="s">
        <v>120</v>
      </c>
      <c r="D101" s="3" t="n">
        <v>15481.58</v>
      </c>
      <c r="E101" s="3" t="n">
        <v>821649</v>
      </c>
      <c r="F101" s="3" t="n">
        <v>1313</v>
      </c>
      <c r="G101" s="3" t="n">
        <v>296</v>
      </c>
      <c r="H101" s="5" t="n">
        <f aca="false">IF(D89&gt;0,(D101-D89)/D89,"")</f>
        <v>0.377993692850919</v>
      </c>
      <c r="I101" s="5" t="n">
        <f aca="false">IF(E89&gt;0,(E101-E89)/E89,"")</f>
        <v>0.354785573779142</v>
      </c>
    </row>
    <row r="102" customFormat="false" ht="15" hidden="false" customHeight="false" outlineLevel="0" collapsed="false">
      <c r="A102" s="2" t="n">
        <v>2024</v>
      </c>
      <c r="B102" s="2" t="s">
        <v>17</v>
      </c>
      <c r="C102" s="2" t="s">
        <v>121</v>
      </c>
      <c r="D102" s="2" t="n">
        <v>16735.17</v>
      </c>
      <c r="E102" s="2" t="n">
        <v>880756</v>
      </c>
      <c r="F102" s="2" t="n">
        <v>1306</v>
      </c>
      <c r="G102" s="2" t="n">
        <v>298</v>
      </c>
      <c r="H102" s="4" t="n">
        <f aca="false">IF(D90&gt;0,(D102-D90)/D90,"")</f>
        <v>0.392231866020986</v>
      </c>
      <c r="I102" s="4" t="n">
        <f aca="false">IF(E90&gt;0,(E102-E90)/E90,"")</f>
        <v>0.367011592551836</v>
      </c>
    </row>
    <row r="103" customFormat="false" ht="15" hidden="false" customHeight="false" outlineLevel="0" collapsed="false">
      <c r="A103" s="3" t="n">
        <v>2025</v>
      </c>
      <c r="B103" s="3" t="s">
        <v>19</v>
      </c>
      <c r="C103" s="3" t="s">
        <v>122</v>
      </c>
      <c r="D103" s="3" t="n">
        <v>17199.23</v>
      </c>
      <c r="E103" s="3" t="n">
        <v>897875</v>
      </c>
      <c r="F103" s="3" t="n">
        <v>1300</v>
      </c>
      <c r="G103" s="3" t="n">
        <v>299</v>
      </c>
      <c r="H103" s="5" t="n">
        <f aca="false">IF(D91&gt;0,(D103-D91)/D91,"")</f>
        <v>0.411012791567672</v>
      </c>
      <c r="I103" s="5" t="n">
        <f aca="false">IF(E91&gt;0,(E103-E91)/E91,"")</f>
        <v>0.357249750581975</v>
      </c>
    </row>
    <row r="104" customFormat="false" ht="15" hidden="false" customHeight="false" outlineLevel="0" collapsed="false">
      <c r="A104" s="2" t="n">
        <v>2025</v>
      </c>
      <c r="B104" s="2" t="s">
        <v>21</v>
      </c>
      <c r="C104" s="2" t="s">
        <v>123</v>
      </c>
      <c r="D104" s="2" t="n">
        <v>16118.54</v>
      </c>
      <c r="E104" s="2" t="n">
        <v>842812</v>
      </c>
      <c r="F104" s="2" t="n">
        <v>1295</v>
      </c>
      <c r="G104" s="2" t="n">
        <v>301</v>
      </c>
      <c r="H104" s="4" t="n">
        <f aca="false">IF(D92&gt;0,(D104-D92)/D92,"")</f>
        <v>0.33648801819513</v>
      </c>
      <c r="I104" s="4" t="n">
        <f aca="false">IF(E92&gt;0,(E104-E92)/E92,"")</f>
        <v>0.299675085854746</v>
      </c>
    </row>
    <row r="105" customFormat="false" ht="15" hidden="false" customHeight="false" outlineLevel="0" collapsed="false">
      <c r="A105" s="3" t="n">
        <v>2025</v>
      </c>
      <c r="B105" s="3" t="s">
        <v>23</v>
      </c>
      <c r="C105" s="3" t="s">
        <v>124</v>
      </c>
      <c r="D105" s="3" t="n">
        <v>19780.73</v>
      </c>
      <c r="E105" s="3" t="n">
        <v>1001107</v>
      </c>
      <c r="F105" s="3" t="n">
        <v>1290</v>
      </c>
      <c r="G105" s="3" t="n">
        <v>304</v>
      </c>
      <c r="H105" s="5" t="n">
        <f aca="false">IF(D93&gt;0,(D105-D93)/D93,"")</f>
        <v>0.471244114868835</v>
      </c>
      <c r="I105" s="5" t="n">
        <f aca="false">IF(E93&gt;0,(E105-E93)/E93,"")</f>
        <v>0.381406952660477</v>
      </c>
    </row>
    <row r="106" customFormat="false" ht="15" hidden="false" customHeight="false" outlineLevel="0" collapsed="false">
      <c r="A106" s="2" t="n">
        <v>2025</v>
      </c>
      <c r="B106" s="2" t="s">
        <v>25</v>
      </c>
      <c r="C106" s="2" t="s">
        <v>125</v>
      </c>
      <c r="D106" s="2" t="n">
        <v>18638.18</v>
      </c>
      <c r="E106" s="2" t="n">
        <v>964234</v>
      </c>
      <c r="F106" s="2" t="n">
        <v>1280</v>
      </c>
      <c r="G106" s="2" t="n">
        <v>308</v>
      </c>
      <c r="H106" s="4" t="n">
        <f aca="false">IF(D94&gt;0,(D106-D94)/D94,"")</f>
        <v>0.401102498701373</v>
      </c>
      <c r="I106" s="4" t="n">
        <f aca="false">IF(E94&gt;0,(E106-E94)/E94,"")</f>
        <v>0.345258208757403</v>
      </c>
    </row>
    <row r="107" customFormat="false" ht="15" hidden="false" customHeight="false" outlineLevel="0" collapsed="false">
      <c r="A107" s="3" t="n">
        <v>2025</v>
      </c>
      <c r="B107" s="3" t="s">
        <v>27</v>
      </c>
      <c r="C107" s="3" t="s">
        <v>126</v>
      </c>
      <c r="D107" s="3" t="n">
        <v>18869.21</v>
      </c>
      <c r="E107" s="3" t="n">
        <v>978321</v>
      </c>
      <c r="F107" s="3" t="n">
        <v>1275</v>
      </c>
      <c r="G107" s="3" t="n">
        <v>310</v>
      </c>
      <c r="H107" s="5" t="n">
        <f aca="false">IF(D95&gt;0,(D107-D95)/D95,"")</f>
        <v>0.344271042605274</v>
      </c>
      <c r="I107" s="5" t="n">
        <f aca="false">IF(E95&gt;0,(E107-E95)/E95,"")</f>
        <v>0.297048657836018</v>
      </c>
    </row>
    <row r="108" customFormat="false" ht="15" hidden="false" customHeight="false" outlineLevel="0" collapsed="false">
      <c r="A108" s="2" t="n">
        <v>2025</v>
      </c>
      <c r="B108" s="2" t="s">
        <v>29</v>
      </c>
      <c r="C108" s="2" t="s">
        <v>127</v>
      </c>
      <c r="D108" s="2" t="n">
        <v>18390</v>
      </c>
      <c r="E108" s="2" t="n">
        <v>2403000</v>
      </c>
      <c r="F108" s="2" t="n">
        <v>1270</v>
      </c>
      <c r="G108" s="2" t="n">
        <v>315</v>
      </c>
      <c r="H108" s="4" t="n">
        <f aca="false">IF(D96&gt;0,(D108-D96)/D96,"")</f>
        <v>0.324303012627327</v>
      </c>
      <c r="I108" s="4" t="n">
        <f aca="false">IF(E96&gt;0,(E108-E96)/E96,"")</f>
        <v>2.27636842578882</v>
      </c>
    </row>
    <row r="109" customFormat="false" ht="15" hidden="false" customHeight="false" outlineLevel="0" collapsed="false">
      <c r="A109" s="3" t="n">
        <v>2025</v>
      </c>
      <c r="B109" s="3" t="s">
        <v>31</v>
      </c>
      <c r="C109" s="3" t="s">
        <v>128</v>
      </c>
      <c r="D109" s="3" t="n">
        <v>18800</v>
      </c>
      <c r="E109" s="3" t="n">
        <v>2420000</v>
      </c>
      <c r="F109" s="3" t="n">
        <v>1265</v>
      </c>
      <c r="G109" s="3" t="n">
        <v>318</v>
      </c>
      <c r="H109" s="5" t="n">
        <f aca="false">IF(D97&gt;0,(D109-D97)/D97,"")</f>
        <v>0.301942664661121</v>
      </c>
      <c r="I109" s="5" t="n">
        <f aca="false">IF(E97&gt;0,(E109-E97)/E97,"")</f>
        <v>2.16250988284338</v>
      </c>
    </row>
    <row r="110" customFormat="false" ht="15" hidden="false" customHeight="false" outlineLevel="0" collapsed="false">
      <c r="A110" s="2" t="n">
        <v>2025</v>
      </c>
      <c r="B110" s="2" t="s">
        <v>9</v>
      </c>
      <c r="C110" s="2" t="s">
        <v>129</v>
      </c>
      <c r="D110" s="2" t="n">
        <v>20000</v>
      </c>
      <c r="E110" s="2" t="n">
        <v>2485000</v>
      </c>
      <c r="F110" s="2" t="n">
        <v>1260</v>
      </c>
      <c r="G110" s="2" t="n">
        <v>320</v>
      </c>
      <c r="H110" s="4" t="n">
        <f aca="false">IF(D98&gt;0,(D110-D98)/D98,"")</f>
        <v>0.336560681859797</v>
      </c>
      <c r="I110" s="4" t="n">
        <f aca="false">IF(E98&gt;0,(E110-E98)/E98,"")</f>
        <v>2.12980175823069</v>
      </c>
    </row>
    <row r="111" customFormat="false" ht="15" hidden="false" customHeight="false" outlineLevel="0" collapsed="false">
      <c r="A111" s="3" t="n">
        <v>2025</v>
      </c>
      <c r="B111" s="3" t="s">
        <v>11</v>
      </c>
      <c r="C111" s="3" t="s">
        <v>130</v>
      </c>
      <c r="D111" s="3" t="n">
        <v>18980</v>
      </c>
      <c r="E111" s="3" t="n">
        <v>2450000</v>
      </c>
      <c r="F111" s="3" t="n">
        <v>1258</v>
      </c>
      <c r="G111" s="3" t="n">
        <v>322</v>
      </c>
      <c r="H111" s="5" t="n">
        <f aca="false">IF(D99&gt;0,(D111-D99)/D99,"")</f>
        <v>0.261430467466991</v>
      </c>
      <c r="I111" s="5" t="n">
        <f aca="false">IF(E99&gt;0,(E111-E99)/E99,"")</f>
        <v>2.0724894312634</v>
      </c>
    </row>
    <row r="112" customFormat="false" ht="15" hidden="false" customHeight="false" outlineLevel="0" collapsed="false">
      <c r="A112" s="2" t="n">
        <v>2025</v>
      </c>
      <c r="B112" s="2" t="s">
        <v>13</v>
      </c>
      <c r="C112" s="2" t="s">
        <v>131</v>
      </c>
      <c r="D112" s="2" t="n">
        <v>19420</v>
      </c>
      <c r="E112" s="2" t="n">
        <v>2728000</v>
      </c>
      <c r="F112" s="2" t="n">
        <v>1255</v>
      </c>
      <c r="G112" s="2" t="n">
        <v>325</v>
      </c>
      <c r="H112" s="4" t="n">
        <f aca="false">IF(D100&gt;0,(D112-D100)/D100,"")</f>
        <v>0.170979250995363</v>
      </c>
      <c r="I112" s="4" t="n">
        <f aca="false">IF(E100&gt;0,(E112-E100)/E100,"")</f>
        <v>2.16275553916982</v>
      </c>
    </row>
    <row r="113" customFormat="false" ht="15" hidden="false" customHeight="false" outlineLevel="0" collapsed="false">
      <c r="A113" s="3" t="n">
        <v>2025</v>
      </c>
      <c r="B113" s="3" t="s">
        <v>15</v>
      </c>
      <c r="C113" s="3" t="s">
        <v>132</v>
      </c>
      <c r="D113" s="3" t="n">
        <v>20470</v>
      </c>
      <c r="E113" s="3" t="n">
        <v>2632000</v>
      </c>
      <c r="F113" s="3" t="n">
        <v>1252</v>
      </c>
      <c r="G113" s="3" t="n">
        <v>328</v>
      </c>
      <c r="H113" s="5" t="n">
        <f aca="false">IF(D101&gt;0,(D113-D101)/D101,"")</f>
        <v>0.32221646627799</v>
      </c>
      <c r="I113" s="5" t="n">
        <f aca="false">IF(E101&gt;0,(E113-E101)/E101,"")</f>
        <v>2.20331431061195</v>
      </c>
    </row>
    <row r="114" customFormat="false" ht="15" hidden="false" customHeight="false" outlineLevel="0" collapsed="false">
      <c r="A114" s="2" t="n">
        <v>2025</v>
      </c>
      <c r="B114" s="2" t="s">
        <v>17</v>
      </c>
      <c r="C114" s="2" t="s">
        <v>133</v>
      </c>
      <c r="D114" s="2" t="n">
        <v>21630</v>
      </c>
      <c r="E114" s="2" t="n">
        <v>2797000</v>
      </c>
      <c r="F114" s="2" t="n">
        <v>1293</v>
      </c>
      <c r="G114" s="2" t="n">
        <v>330</v>
      </c>
      <c r="H114" s="4" t="n">
        <f aca="false">IF(D102&gt;0,(D114-D102)/D102,"")</f>
        <v>0.292487617394983</v>
      </c>
      <c r="I114" s="4" t="n">
        <f aca="false">IF(E102&gt;0,(E114-E102)/E102,"")</f>
        <v>2.17568089232432</v>
      </c>
    </row>
    <row r="116" customFormat="false" ht="15" hidden="false" customHeight="false" outlineLevel="0" collapsed="false">
      <c r="A116" s="6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3" style="0" width="22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8" min="7" style="0" width="16"/>
    <col collapsed="false" customWidth="true" hidden="false" outlineLevel="0" max="9" min="9" style="0" width="24"/>
  </cols>
  <sheetData>
    <row r="1" customFormat="false" ht="15" hidden="false" customHeight="false" outlineLevel="0" collapsed="false">
      <c r="A1" s="1" t="s">
        <v>135</v>
      </c>
      <c r="B1" s="1" t="s">
        <v>136</v>
      </c>
      <c r="C1" s="1" t="s">
        <v>137</v>
      </c>
      <c r="D1" s="1" t="s">
        <v>138</v>
      </c>
      <c r="E1" s="1" t="s">
        <v>6</v>
      </c>
      <c r="F1" s="1" t="s">
        <v>139</v>
      </c>
      <c r="G1" s="1" t="s">
        <v>5</v>
      </c>
      <c r="H1" s="1" t="s">
        <v>140</v>
      </c>
      <c r="I1" s="1" t="s">
        <v>141</v>
      </c>
    </row>
    <row r="2" customFormat="false" ht="15" hidden="false" customHeight="false" outlineLevel="0" collapsed="false">
      <c r="A2" s="2" t="s">
        <v>142</v>
      </c>
      <c r="B2" s="2" t="n">
        <v>0.18</v>
      </c>
      <c r="C2" s="2" t="n">
        <v>0.07</v>
      </c>
      <c r="D2" s="2" t="n">
        <v>10</v>
      </c>
      <c r="E2" s="2" t="n">
        <v>50</v>
      </c>
      <c r="F2" s="2"/>
      <c r="G2" s="2"/>
      <c r="H2" s="2"/>
      <c r="I2" s="2" t="n">
        <v>2</v>
      </c>
    </row>
    <row r="3" customFormat="false" ht="15" hidden="false" customHeight="false" outlineLevel="0" collapsed="false">
      <c r="A3" s="3" t="s">
        <v>143</v>
      </c>
      <c r="B3" s="3" t="n">
        <v>1</v>
      </c>
      <c r="C3" s="3" t="n">
        <v>1</v>
      </c>
      <c r="D3" s="3" t="n">
        <v>30</v>
      </c>
      <c r="E3" s="3" t="n">
        <v>100</v>
      </c>
      <c r="F3" s="3"/>
      <c r="G3" s="3"/>
      <c r="H3" s="3" t="n">
        <v>10</v>
      </c>
      <c r="I3" s="3" t="n">
        <v>5</v>
      </c>
    </row>
    <row r="4" customFormat="false" ht="15" hidden="false" customHeight="false" outlineLevel="0" collapsed="false">
      <c r="A4" s="2" t="s">
        <v>144</v>
      </c>
      <c r="B4" s="2" t="n">
        <v>5.35</v>
      </c>
      <c r="C4" s="2" t="n">
        <v>8.77</v>
      </c>
      <c r="D4" s="2" t="n">
        <v>80</v>
      </c>
      <c r="E4" s="2" t="n">
        <v>150</v>
      </c>
      <c r="F4" s="2" t="n">
        <v>5</v>
      </c>
      <c r="G4" s="2"/>
      <c r="H4" s="2" t="n">
        <v>15</v>
      </c>
      <c r="I4" s="2" t="n">
        <v>12</v>
      </c>
    </row>
    <row r="5" customFormat="false" ht="15" hidden="false" customHeight="false" outlineLevel="0" collapsed="false">
      <c r="A5" s="3" t="s">
        <v>145</v>
      </c>
      <c r="B5" s="3" t="n">
        <v>12.52</v>
      </c>
      <c r="C5" s="3" t="n">
        <v>21.32</v>
      </c>
      <c r="D5" s="3" t="n">
        <v>100</v>
      </c>
      <c r="E5" s="3" t="n">
        <v>175</v>
      </c>
      <c r="F5" s="3" t="n">
        <v>8</v>
      </c>
      <c r="G5" s="3"/>
      <c r="H5" s="3" t="n">
        <v>22</v>
      </c>
      <c r="I5" s="3" t="n">
        <v>20</v>
      </c>
    </row>
    <row r="6" customFormat="false" ht="15" hidden="false" customHeight="false" outlineLevel="0" collapsed="false">
      <c r="A6" s="2" t="s">
        <v>146</v>
      </c>
      <c r="B6" s="2" t="n">
        <v>22.33</v>
      </c>
      <c r="C6" s="2" t="n">
        <v>41.04</v>
      </c>
      <c r="D6" s="2" t="n">
        <v>150</v>
      </c>
      <c r="E6" s="2" t="n">
        <v>198</v>
      </c>
      <c r="F6" s="2" t="n">
        <v>15</v>
      </c>
      <c r="G6" s="2"/>
      <c r="H6" s="2" t="n">
        <v>30</v>
      </c>
      <c r="I6" s="2" t="n">
        <v>35</v>
      </c>
    </row>
    <row r="7" customFormat="false" ht="15" hidden="false" customHeight="false" outlineLevel="0" collapsed="false">
      <c r="A7" s="3" t="s">
        <v>147</v>
      </c>
      <c r="B7" s="3" t="n">
        <v>45.96</v>
      </c>
      <c r="C7" s="3" t="n">
        <v>84.17</v>
      </c>
      <c r="D7" s="3" t="n">
        <v>200</v>
      </c>
      <c r="E7" s="3" t="n">
        <v>223</v>
      </c>
      <c r="F7" s="3" t="n">
        <v>20</v>
      </c>
      <c r="G7" s="3" t="n">
        <v>1478</v>
      </c>
      <c r="H7" s="3" t="n">
        <v>45</v>
      </c>
      <c r="I7" s="3" t="n">
        <v>52</v>
      </c>
    </row>
    <row r="8" customFormat="false" ht="15" hidden="false" customHeight="false" outlineLevel="0" collapsed="false">
      <c r="A8" s="2" t="s">
        <v>148</v>
      </c>
      <c r="B8" s="2" t="n">
        <v>83.71</v>
      </c>
      <c r="C8" s="2" t="n">
        <v>139.21</v>
      </c>
      <c r="D8" s="2" t="n">
        <v>260</v>
      </c>
      <c r="E8" s="2" t="n">
        <v>258</v>
      </c>
      <c r="F8" s="2" t="n">
        <v>25</v>
      </c>
      <c r="G8" s="2" t="n">
        <v>1395</v>
      </c>
      <c r="H8" s="2" t="n">
        <v>55</v>
      </c>
      <c r="I8" s="2" t="n">
        <v>62</v>
      </c>
    </row>
    <row r="9" customFormat="false" ht="15" hidden="false" customHeight="false" outlineLevel="0" collapsed="false">
      <c r="A9" s="3" t="s">
        <v>149</v>
      </c>
      <c r="B9" s="3" t="n">
        <v>131.13</v>
      </c>
      <c r="C9" s="3" t="n">
        <v>199.89</v>
      </c>
      <c r="D9" s="3" t="n">
        <v>350</v>
      </c>
      <c r="E9" s="3" t="n">
        <v>283</v>
      </c>
      <c r="F9" s="3" t="n">
        <v>30</v>
      </c>
      <c r="G9" s="3" t="n">
        <v>1320</v>
      </c>
      <c r="H9" s="3" t="n">
        <v>59</v>
      </c>
      <c r="I9" s="3" t="n">
        <v>75</v>
      </c>
    </row>
    <row r="10" customFormat="false" ht="15" hidden="false" customHeight="false" outlineLevel="0" collapsed="false">
      <c r="A10" s="2" t="s">
        <v>150</v>
      </c>
      <c r="B10" s="2" t="n">
        <v>185</v>
      </c>
      <c r="C10" s="2" t="n">
        <v>246.82</v>
      </c>
      <c r="D10" s="2" t="n">
        <v>420</v>
      </c>
      <c r="E10" s="2" t="n">
        <v>304</v>
      </c>
      <c r="F10" s="2" t="n">
        <v>40</v>
      </c>
      <c r="G10" s="2" t="n">
        <v>1293</v>
      </c>
      <c r="H10" s="2" t="n">
        <v>62</v>
      </c>
      <c r="I10" s="2" t="n">
        <v>80</v>
      </c>
    </row>
    <row r="11" customFormat="false" ht="15" hidden="false" customHeight="false" outlineLevel="0" collapsed="false">
      <c r="A11" s="3" t="s">
        <v>151</v>
      </c>
      <c r="B11" s="3" t="n">
        <v>228.3</v>
      </c>
      <c r="C11" s="3" t="n">
        <v>299.7</v>
      </c>
      <c r="D11" s="3" t="n">
        <v>500</v>
      </c>
      <c r="E11" s="3" t="n">
        <v>330</v>
      </c>
      <c r="F11" s="3" t="n">
        <v>50</v>
      </c>
      <c r="G11" s="3" t="n">
        <v>1270</v>
      </c>
      <c r="H11" s="3" t="n">
        <v>63</v>
      </c>
      <c r="I11" s="3" t="n">
        <v>85</v>
      </c>
    </row>
    <row r="13" customFormat="false" ht="15" hidden="false" customHeight="false" outlineLevel="0" collapsed="false">
      <c r="A13" s="6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20"/>
    <col collapsed="false" customWidth="true" hidden="false" outlineLevel="0" max="7" min="6" style="0" width="18"/>
    <col collapsed="false" customWidth="true" hidden="false" outlineLevel="0" max="8" min="8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</row>
    <row r="2" customFormat="false" ht="15" hidden="false" customHeight="false" outlineLevel="0" collapsed="false">
      <c r="A2" s="2" t="n">
        <v>2020</v>
      </c>
      <c r="B2" s="2" t="s">
        <v>25</v>
      </c>
      <c r="C2" s="2" t="s">
        <v>65</v>
      </c>
      <c r="D2" s="2" t="n">
        <v>550</v>
      </c>
      <c r="E2" s="2" t="n">
        <v>449</v>
      </c>
      <c r="F2" s="2" t="n">
        <v>33000</v>
      </c>
      <c r="G2" s="2" t="n">
        <v>22037</v>
      </c>
      <c r="H2" s="7" t="n">
        <v>0.449</v>
      </c>
    </row>
    <row r="3" customFormat="false" ht="15" hidden="false" customHeight="false" outlineLevel="0" collapsed="false">
      <c r="A3" s="3" t="n">
        <v>2020</v>
      </c>
      <c r="B3" s="3" t="s">
        <v>27</v>
      </c>
      <c r="C3" s="3" t="s">
        <v>66</v>
      </c>
      <c r="D3" s="3" t="n">
        <v>680</v>
      </c>
      <c r="E3" s="3" t="n">
        <v>552</v>
      </c>
      <c r="F3" s="3" t="n">
        <v>44000</v>
      </c>
      <c r="G3" s="3" t="n">
        <v>29191</v>
      </c>
      <c r="H3" s="8" t="n">
        <v>0.448</v>
      </c>
    </row>
    <row r="4" customFormat="false" ht="15" hidden="false" customHeight="false" outlineLevel="0" collapsed="false">
      <c r="A4" s="2" t="n">
        <v>2020</v>
      </c>
      <c r="B4" s="2" t="s">
        <v>29</v>
      </c>
      <c r="C4" s="2" t="s">
        <v>67</v>
      </c>
      <c r="D4" s="2" t="n">
        <v>720</v>
      </c>
      <c r="E4" s="2" t="n">
        <v>621</v>
      </c>
      <c r="F4" s="2" t="n">
        <v>49000</v>
      </c>
      <c r="G4" s="2" t="n">
        <v>33374</v>
      </c>
      <c r="H4" s="7" t="n">
        <v>0.463</v>
      </c>
    </row>
    <row r="5" customFormat="false" ht="15" hidden="false" customHeight="false" outlineLevel="0" collapsed="false">
      <c r="A5" s="3" t="n">
        <v>2020</v>
      </c>
      <c r="B5" s="3" t="s">
        <v>31</v>
      </c>
      <c r="C5" s="3" t="s">
        <v>68</v>
      </c>
      <c r="D5" s="3" t="n">
        <v>790</v>
      </c>
      <c r="E5" s="3" t="n">
        <v>706</v>
      </c>
      <c r="F5" s="3" t="n">
        <v>53000</v>
      </c>
      <c r="G5" s="3" t="n">
        <v>37430</v>
      </c>
      <c r="H5" s="8" t="n">
        <v>0.472</v>
      </c>
    </row>
    <row r="6" customFormat="false" ht="15" hidden="false" customHeight="false" outlineLevel="0" collapsed="false">
      <c r="A6" s="2" t="n">
        <v>2020</v>
      </c>
      <c r="B6" s="2" t="s">
        <v>9</v>
      </c>
      <c r="C6" s="2" t="s">
        <v>69</v>
      </c>
      <c r="D6" s="2" t="n">
        <v>840</v>
      </c>
      <c r="E6" s="2" t="n">
        <v>772</v>
      </c>
      <c r="F6" s="2" t="n">
        <v>57000</v>
      </c>
      <c r="G6" s="2" t="n">
        <v>39363</v>
      </c>
      <c r="H6" s="7" t="n">
        <v>0.479</v>
      </c>
    </row>
    <row r="7" customFormat="false" ht="15" hidden="false" customHeight="false" outlineLevel="0" collapsed="false">
      <c r="A7" s="3" t="n">
        <v>2020</v>
      </c>
      <c r="B7" s="3" t="s">
        <v>11</v>
      </c>
      <c r="C7" s="3" t="s">
        <v>70</v>
      </c>
      <c r="D7" s="3" t="n">
        <v>940</v>
      </c>
      <c r="E7" s="3" t="n">
        <v>866</v>
      </c>
      <c r="F7" s="3" t="n">
        <v>65000</v>
      </c>
      <c r="G7" s="3" t="n">
        <v>47329</v>
      </c>
      <c r="H7" s="8" t="n">
        <v>0.48</v>
      </c>
    </row>
    <row r="8" customFormat="false" ht="15" hidden="false" customHeight="false" outlineLevel="0" collapsed="false">
      <c r="A8" s="2" t="n">
        <v>2020</v>
      </c>
      <c r="B8" s="2" t="s">
        <v>13</v>
      </c>
      <c r="C8" s="2" t="s">
        <v>71</v>
      </c>
      <c r="D8" s="2" t="n">
        <v>1040</v>
      </c>
      <c r="E8" s="2" t="n">
        <v>967</v>
      </c>
      <c r="F8" s="2" t="n">
        <v>72000</v>
      </c>
      <c r="G8" s="2" t="n">
        <v>51591</v>
      </c>
      <c r="H8" s="7" t="n">
        <v>0.482</v>
      </c>
    </row>
    <row r="9" customFormat="false" ht="15" hidden="false" customHeight="false" outlineLevel="0" collapsed="false">
      <c r="A9" s="3" t="n">
        <v>2020</v>
      </c>
      <c r="B9" s="3" t="s">
        <v>15</v>
      </c>
      <c r="C9" s="3" t="s">
        <v>72</v>
      </c>
      <c r="D9" s="3" t="n">
        <v>1140</v>
      </c>
      <c r="E9" s="3" t="n">
        <v>1072</v>
      </c>
      <c r="F9" s="3" t="n">
        <v>79000</v>
      </c>
      <c r="G9" s="3" t="n">
        <v>58054</v>
      </c>
      <c r="H9" s="8" t="n">
        <v>0.484</v>
      </c>
    </row>
    <row r="10" customFormat="false" ht="15" hidden="false" customHeight="false" outlineLevel="0" collapsed="false">
      <c r="A10" s="2" t="n">
        <v>2020</v>
      </c>
      <c r="B10" s="2" t="s">
        <v>17</v>
      </c>
      <c r="C10" s="2" t="s">
        <v>73</v>
      </c>
      <c r="D10" s="2" t="n">
        <v>1150</v>
      </c>
      <c r="E10" s="2" t="n">
        <v>1081</v>
      </c>
      <c r="F10" s="2" t="n">
        <v>79000</v>
      </c>
      <c r="G10" s="2" t="n">
        <v>58867</v>
      </c>
      <c r="H10" s="7" t="n">
        <v>0.484</v>
      </c>
    </row>
    <row r="11" customFormat="false" ht="15" hidden="false" customHeight="false" outlineLevel="0" collapsed="false">
      <c r="A11" s="3" t="n">
        <v>2021</v>
      </c>
      <c r="B11" s="3" t="s">
        <v>19</v>
      </c>
      <c r="C11" s="3" t="s">
        <v>74</v>
      </c>
      <c r="D11" s="3" t="n">
        <v>1185</v>
      </c>
      <c r="E11" s="3" t="n">
        <v>1119</v>
      </c>
      <c r="F11" s="3" t="n">
        <v>82000</v>
      </c>
      <c r="G11" s="3" t="n">
        <v>60470</v>
      </c>
      <c r="H11" s="8" t="n">
        <v>0.486</v>
      </c>
    </row>
    <row r="12" customFormat="false" ht="15" hidden="false" customHeight="false" outlineLevel="0" collapsed="false">
      <c r="A12" s="2" t="n">
        <v>2021</v>
      </c>
      <c r="B12" s="2" t="s">
        <v>21</v>
      </c>
      <c r="C12" s="2" t="s">
        <v>75</v>
      </c>
      <c r="D12" s="2" t="n">
        <v>1175</v>
      </c>
      <c r="E12" s="2" t="n">
        <v>1117</v>
      </c>
      <c r="F12" s="2" t="n">
        <v>79000</v>
      </c>
      <c r="G12" s="2" t="n">
        <v>59745</v>
      </c>
      <c r="H12" s="7" t="n">
        <v>0.487</v>
      </c>
    </row>
    <row r="13" customFormat="false" ht="15" hidden="false" customHeight="false" outlineLevel="0" collapsed="false">
      <c r="A13" s="3" t="n">
        <v>2021</v>
      </c>
      <c r="B13" s="3" t="s">
        <v>23</v>
      </c>
      <c r="C13" s="3" t="s">
        <v>76</v>
      </c>
      <c r="D13" s="3" t="n">
        <v>1390</v>
      </c>
      <c r="E13" s="3" t="n">
        <v>1343</v>
      </c>
      <c r="F13" s="3" t="n">
        <v>92000</v>
      </c>
      <c r="G13" s="3" t="n">
        <v>70068</v>
      </c>
      <c r="H13" s="8" t="n">
        <v>0.491</v>
      </c>
    </row>
    <row r="14" customFormat="false" ht="15" hidden="false" customHeight="false" outlineLevel="0" collapsed="false">
      <c r="A14" s="2" t="n">
        <v>2021</v>
      </c>
      <c r="B14" s="2" t="s">
        <v>25</v>
      </c>
      <c r="C14" s="2" t="s">
        <v>77</v>
      </c>
      <c r="D14" s="2" t="n">
        <v>1340</v>
      </c>
      <c r="E14" s="2" t="n">
        <v>1302</v>
      </c>
      <c r="F14" s="2" t="n">
        <v>89000</v>
      </c>
      <c r="G14" s="2" t="n">
        <v>68989</v>
      </c>
      <c r="H14" s="7" t="n">
        <v>0.493</v>
      </c>
    </row>
    <row r="15" customFormat="false" ht="15" hidden="false" customHeight="false" outlineLevel="0" collapsed="false">
      <c r="A15" s="3" t="n">
        <v>2021</v>
      </c>
      <c r="B15" s="3" t="s">
        <v>27</v>
      </c>
      <c r="C15" s="3" t="s">
        <v>78</v>
      </c>
      <c r="D15" s="3" t="n">
        <v>1280</v>
      </c>
      <c r="E15" s="3" t="n">
        <v>1258</v>
      </c>
      <c r="F15" s="3" t="n">
        <v>85000</v>
      </c>
      <c r="G15" s="3" t="n">
        <v>65680</v>
      </c>
      <c r="H15" s="8" t="n">
        <v>0.496</v>
      </c>
    </row>
    <row r="16" customFormat="false" ht="15" hidden="false" customHeight="false" outlineLevel="0" collapsed="false">
      <c r="A16" s="2" t="n">
        <v>2021</v>
      </c>
      <c r="B16" s="2" t="s">
        <v>29</v>
      </c>
      <c r="C16" s="2" t="s">
        <v>79</v>
      </c>
      <c r="D16" s="2" t="n">
        <v>1400</v>
      </c>
      <c r="E16" s="2" t="n">
        <v>1403</v>
      </c>
      <c r="F16" s="2" t="n">
        <v>95000</v>
      </c>
      <c r="G16" s="2" t="n">
        <v>75673</v>
      </c>
      <c r="H16" s="7" t="n">
        <v>0.5</v>
      </c>
    </row>
    <row r="17" customFormat="false" ht="15" hidden="false" customHeight="false" outlineLevel="0" collapsed="false">
      <c r="A17" s="3" t="n">
        <v>2021</v>
      </c>
      <c r="B17" s="3" t="s">
        <v>31</v>
      </c>
      <c r="C17" s="3" t="s">
        <v>80</v>
      </c>
      <c r="D17" s="3" t="n">
        <v>1600</v>
      </c>
      <c r="E17" s="3" t="n">
        <v>1639</v>
      </c>
      <c r="F17" s="3" t="n">
        <v>108000</v>
      </c>
      <c r="G17" s="3" t="n">
        <v>88888</v>
      </c>
      <c r="H17" s="8" t="n">
        <v>0.506</v>
      </c>
    </row>
    <row r="18" customFormat="false" ht="15" hidden="false" customHeight="false" outlineLevel="0" collapsed="false">
      <c r="A18" s="2" t="n">
        <v>2021</v>
      </c>
      <c r="B18" s="2" t="s">
        <v>9</v>
      </c>
      <c r="C18" s="2" t="s">
        <v>81</v>
      </c>
      <c r="D18" s="2" t="n">
        <v>1740</v>
      </c>
      <c r="E18" s="2" t="n">
        <v>1815</v>
      </c>
      <c r="F18" s="2" t="n">
        <v>116000</v>
      </c>
      <c r="G18" s="2" t="n">
        <v>98578</v>
      </c>
      <c r="H18" s="7" t="n">
        <v>0.51</v>
      </c>
    </row>
    <row r="19" customFormat="false" ht="15" hidden="false" customHeight="false" outlineLevel="0" collapsed="false">
      <c r="A19" s="3" t="n">
        <v>2021</v>
      </c>
      <c r="B19" s="3" t="s">
        <v>11</v>
      </c>
      <c r="C19" s="3" t="s">
        <v>82</v>
      </c>
      <c r="D19" s="3" t="n">
        <v>1770</v>
      </c>
      <c r="E19" s="3" t="n">
        <v>1881</v>
      </c>
      <c r="F19" s="3" t="n">
        <v>118000</v>
      </c>
      <c r="G19" s="3" t="n">
        <v>103544</v>
      </c>
      <c r="H19" s="8" t="n">
        <v>0.515</v>
      </c>
    </row>
    <row r="20" customFormat="false" ht="15" hidden="false" customHeight="false" outlineLevel="0" collapsed="false">
      <c r="A20" s="2" t="n">
        <v>2021</v>
      </c>
      <c r="B20" s="2" t="s">
        <v>13</v>
      </c>
      <c r="C20" s="2" t="s">
        <v>83</v>
      </c>
      <c r="D20" s="2" t="n">
        <v>2020</v>
      </c>
      <c r="E20" s="2" t="n">
        <v>2195</v>
      </c>
      <c r="F20" s="2" t="n">
        <v>133000</v>
      </c>
      <c r="G20" s="2" t="n">
        <v>120085</v>
      </c>
      <c r="H20" s="7" t="n">
        <v>0.521</v>
      </c>
    </row>
    <row r="21" customFormat="false" ht="15" hidden="false" customHeight="false" outlineLevel="0" collapsed="false">
      <c r="A21" s="3" t="n">
        <v>2021</v>
      </c>
      <c r="B21" s="3" t="s">
        <v>15</v>
      </c>
      <c r="C21" s="3" t="s">
        <v>84</v>
      </c>
      <c r="D21" s="3" t="n">
        <v>1990</v>
      </c>
      <c r="E21" s="3" t="n">
        <v>2190</v>
      </c>
      <c r="F21" s="3" t="n">
        <v>130000</v>
      </c>
      <c r="G21" s="3" t="n">
        <v>122534</v>
      </c>
      <c r="H21" s="8" t="n">
        <v>0.523</v>
      </c>
    </row>
    <row r="22" customFormat="false" ht="15" hidden="false" customHeight="false" outlineLevel="0" collapsed="false">
      <c r="A22" s="2" t="n">
        <v>2021</v>
      </c>
      <c r="B22" s="2" t="s">
        <v>17</v>
      </c>
      <c r="C22" s="2" t="s">
        <v>85</v>
      </c>
      <c r="D22" s="2" t="n">
        <v>2140</v>
      </c>
      <c r="E22" s="2" t="n">
        <v>2421</v>
      </c>
      <c r="F22" s="2" t="n">
        <v>140000</v>
      </c>
      <c r="G22" s="2" t="n">
        <v>135688</v>
      </c>
      <c r="H22" s="7" t="n">
        <v>0.531</v>
      </c>
    </row>
    <row r="23" customFormat="false" ht="15" hidden="false" customHeight="false" outlineLevel="0" collapsed="false">
      <c r="A23" s="3" t="n">
        <v>2022</v>
      </c>
      <c r="B23" s="3" t="s">
        <v>19</v>
      </c>
      <c r="C23" s="3" t="s">
        <v>86</v>
      </c>
      <c r="D23" s="3" t="n">
        <v>2145</v>
      </c>
      <c r="E23" s="3" t="n">
        <v>2463</v>
      </c>
      <c r="F23" s="3" t="n">
        <v>140000</v>
      </c>
      <c r="G23" s="3" t="n">
        <v>138571</v>
      </c>
      <c r="H23" s="8" t="n">
        <v>0.534</v>
      </c>
    </row>
    <row r="24" customFormat="false" ht="15" hidden="false" customHeight="false" outlineLevel="0" collapsed="false">
      <c r="A24" s="2" t="n">
        <v>2022</v>
      </c>
      <c r="B24" s="2" t="s">
        <v>21</v>
      </c>
      <c r="C24" s="2" t="s">
        <v>87</v>
      </c>
      <c r="D24" s="2" t="n">
        <v>2100</v>
      </c>
      <c r="E24" s="2" t="n">
        <v>2425</v>
      </c>
      <c r="F24" s="2" t="n">
        <v>136000</v>
      </c>
      <c r="G24" s="2" t="n">
        <v>138058</v>
      </c>
      <c r="H24" s="7" t="n">
        <v>0.536</v>
      </c>
    </row>
    <row r="25" customFormat="false" ht="15" hidden="false" customHeight="false" outlineLevel="0" collapsed="false">
      <c r="A25" s="3" t="n">
        <v>2022</v>
      </c>
      <c r="B25" s="3" t="s">
        <v>23</v>
      </c>
      <c r="C25" s="3" t="s">
        <v>88</v>
      </c>
      <c r="D25" s="3" t="n">
        <v>2490</v>
      </c>
      <c r="E25" s="3" t="n">
        <v>2923</v>
      </c>
      <c r="F25" s="3" t="n">
        <v>160000</v>
      </c>
      <c r="G25" s="3" t="n">
        <v>163991</v>
      </c>
      <c r="H25" s="8" t="n">
        <v>0.54</v>
      </c>
    </row>
    <row r="26" customFormat="false" ht="15" hidden="false" customHeight="false" outlineLevel="0" collapsed="false">
      <c r="A26" s="2" t="n">
        <v>2022</v>
      </c>
      <c r="B26" s="2" t="s">
        <v>25</v>
      </c>
      <c r="C26" s="2" t="s">
        <v>89</v>
      </c>
      <c r="D26" s="2" t="n">
        <v>2560</v>
      </c>
      <c r="E26" s="2" t="n">
        <v>3020</v>
      </c>
      <c r="F26" s="2" t="n">
        <v>163000</v>
      </c>
      <c r="G26" s="2" t="n">
        <v>172496</v>
      </c>
      <c r="H26" s="7" t="n">
        <v>0.541</v>
      </c>
    </row>
    <row r="27" customFormat="false" ht="15" hidden="false" customHeight="false" outlineLevel="0" collapsed="false">
      <c r="A27" s="3" t="n">
        <v>2022</v>
      </c>
      <c r="B27" s="3" t="s">
        <v>27</v>
      </c>
      <c r="C27" s="3" t="s">
        <v>90</v>
      </c>
      <c r="D27" s="3" t="n">
        <v>2700</v>
      </c>
      <c r="E27" s="3" t="n">
        <v>3248</v>
      </c>
      <c r="F27" s="3" t="n">
        <v>170000</v>
      </c>
      <c r="G27" s="3" t="n">
        <v>185748</v>
      </c>
      <c r="H27" s="8" t="n">
        <v>0.546</v>
      </c>
    </row>
    <row r="28" customFormat="false" ht="15" hidden="false" customHeight="false" outlineLevel="0" collapsed="false">
      <c r="A28" s="2" t="n">
        <v>2022</v>
      </c>
      <c r="B28" s="2" t="s">
        <v>29</v>
      </c>
      <c r="C28" s="2" t="s">
        <v>91</v>
      </c>
      <c r="D28" s="2" t="n">
        <v>2640</v>
      </c>
      <c r="E28" s="2" t="n">
        <v>3210</v>
      </c>
      <c r="F28" s="2" t="n">
        <v>167000</v>
      </c>
      <c r="G28" s="2" t="n">
        <v>184406</v>
      </c>
      <c r="H28" s="7" t="n">
        <v>0.549</v>
      </c>
    </row>
    <row r="29" customFormat="false" ht="15" hidden="false" customHeight="false" outlineLevel="0" collapsed="false">
      <c r="A29" s="3" t="n">
        <v>2022</v>
      </c>
      <c r="B29" s="3" t="s">
        <v>31</v>
      </c>
      <c r="C29" s="3" t="s">
        <v>92</v>
      </c>
      <c r="D29" s="3" t="n">
        <v>2810</v>
      </c>
      <c r="E29" s="3" t="n">
        <v>3474</v>
      </c>
      <c r="F29" s="3" t="n">
        <v>175000</v>
      </c>
      <c r="G29" s="3" t="n">
        <v>198780</v>
      </c>
      <c r="H29" s="8" t="n">
        <v>0.553</v>
      </c>
    </row>
    <row r="30" customFormat="false" ht="15" hidden="false" customHeight="false" outlineLevel="0" collapsed="false">
      <c r="A30" s="2" t="n">
        <v>2022</v>
      </c>
      <c r="B30" s="2" t="s">
        <v>9</v>
      </c>
      <c r="C30" s="2" t="s">
        <v>93</v>
      </c>
      <c r="D30" s="2" t="n">
        <v>2950</v>
      </c>
      <c r="E30" s="2" t="n">
        <v>3627</v>
      </c>
      <c r="F30" s="2" t="n">
        <v>182000</v>
      </c>
      <c r="G30" s="2" t="n">
        <v>208757</v>
      </c>
      <c r="H30" s="7" t="n">
        <v>0.551</v>
      </c>
    </row>
    <row r="31" customFormat="false" ht="15" hidden="false" customHeight="false" outlineLevel="0" collapsed="false">
      <c r="A31" s="3" t="n">
        <v>2022</v>
      </c>
      <c r="B31" s="3" t="s">
        <v>11</v>
      </c>
      <c r="C31" s="3" t="s">
        <v>94</v>
      </c>
      <c r="D31" s="3" t="n">
        <v>3000</v>
      </c>
      <c r="E31" s="3" t="n">
        <v>3783</v>
      </c>
      <c r="F31" s="3" t="n">
        <v>187000</v>
      </c>
      <c r="G31" s="3" t="n">
        <v>217978</v>
      </c>
      <c r="H31" s="8" t="n">
        <v>0.557</v>
      </c>
    </row>
    <row r="32" customFormat="false" ht="15" hidden="false" customHeight="false" outlineLevel="0" collapsed="false">
      <c r="A32" s="2" t="n">
        <v>2022</v>
      </c>
      <c r="B32" s="2" t="s">
        <v>13</v>
      </c>
      <c r="C32" s="2" t="s">
        <v>95</v>
      </c>
      <c r="D32" s="2" t="n">
        <v>3180</v>
      </c>
      <c r="E32" s="2" t="n">
        <v>4125</v>
      </c>
      <c r="F32" s="2" t="n">
        <v>192000</v>
      </c>
      <c r="G32" s="2" t="n">
        <v>232049</v>
      </c>
      <c r="H32" s="7" t="n">
        <v>0.565</v>
      </c>
    </row>
    <row r="33" customFormat="false" ht="15" hidden="false" customHeight="false" outlineLevel="0" collapsed="false">
      <c r="A33" s="3" t="n">
        <v>2022</v>
      </c>
      <c r="B33" s="3" t="s">
        <v>15</v>
      </c>
      <c r="C33" s="3" t="s">
        <v>96</v>
      </c>
      <c r="D33" s="3" t="n">
        <v>3130</v>
      </c>
      <c r="E33" s="3" t="n">
        <v>4135</v>
      </c>
      <c r="F33" s="3" t="n">
        <v>187000</v>
      </c>
      <c r="G33" s="3" t="n">
        <v>230498</v>
      </c>
      <c r="H33" s="8" t="n">
        <v>0.57</v>
      </c>
    </row>
    <row r="34" customFormat="false" ht="15" hidden="false" customHeight="false" outlineLevel="0" collapsed="false">
      <c r="A34" s="2" t="n">
        <v>2022</v>
      </c>
      <c r="B34" s="2" t="s">
        <v>17</v>
      </c>
      <c r="C34" s="2" t="s">
        <v>97</v>
      </c>
      <c r="D34" s="2" t="n">
        <v>3330</v>
      </c>
      <c r="E34" s="2" t="n">
        <v>4500</v>
      </c>
      <c r="F34" s="2" t="n">
        <v>195000</v>
      </c>
      <c r="G34" s="2" t="n">
        <v>252771</v>
      </c>
      <c r="H34" s="7" t="n">
        <v>0.575</v>
      </c>
    </row>
    <row r="35" customFormat="false" ht="15" hidden="false" customHeight="false" outlineLevel="0" collapsed="false">
      <c r="A35" s="3" t="n">
        <v>2023</v>
      </c>
      <c r="B35" s="3" t="s">
        <v>19</v>
      </c>
      <c r="C35" s="3" t="s">
        <v>98</v>
      </c>
      <c r="D35" s="3" t="n">
        <v>3390</v>
      </c>
      <c r="E35" s="3" t="n">
        <v>4647</v>
      </c>
      <c r="F35" s="3" t="n">
        <v>197000</v>
      </c>
      <c r="G35" s="3" t="n">
        <v>261251</v>
      </c>
      <c r="H35" s="8" t="n">
        <v>0.578</v>
      </c>
    </row>
    <row r="36" customFormat="false" ht="15" hidden="false" customHeight="false" outlineLevel="0" collapsed="false">
      <c r="A36" s="2" t="n">
        <v>2023</v>
      </c>
      <c r="B36" s="2" t="s">
        <v>21</v>
      </c>
      <c r="C36" s="2" t="s">
        <v>99</v>
      </c>
      <c r="D36" s="2" t="n">
        <v>3150</v>
      </c>
      <c r="E36" s="2" t="n">
        <v>4380</v>
      </c>
      <c r="F36" s="2" t="n">
        <v>182000</v>
      </c>
      <c r="G36" s="2" t="n">
        <v>247735</v>
      </c>
      <c r="H36" s="7" t="n">
        <v>0.582</v>
      </c>
    </row>
    <row r="37" customFormat="false" ht="15" hidden="false" customHeight="false" outlineLevel="0" collapsed="false">
      <c r="A37" s="3" t="n">
        <v>2023</v>
      </c>
      <c r="B37" s="3" t="s">
        <v>23</v>
      </c>
      <c r="C37" s="3" t="s">
        <v>100</v>
      </c>
      <c r="D37" s="3" t="n">
        <v>3590</v>
      </c>
      <c r="E37" s="3" t="n">
        <v>5061</v>
      </c>
      <c r="F37" s="3" t="n">
        <v>207000</v>
      </c>
      <c r="G37" s="3" t="n">
        <v>279783</v>
      </c>
      <c r="H37" s="8" t="n">
        <v>0.585</v>
      </c>
    </row>
    <row r="38" customFormat="false" ht="15" hidden="false" customHeight="false" outlineLevel="0" collapsed="false">
      <c r="A38" s="2" t="n">
        <v>2023</v>
      </c>
      <c r="B38" s="2" t="s">
        <v>25</v>
      </c>
      <c r="C38" s="2" t="s">
        <v>101</v>
      </c>
      <c r="D38" s="2" t="n">
        <v>3670</v>
      </c>
      <c r="E38" s="2" t="n">
        <v>5224</v>
      </c>
      <c r="F38" s="2" t="n">
        <v>211000</v>
      </c>
      <c r="G38" s="2" t="n">
        <v>289925</v>
      </c>
      <c r="H38" s="7" t="n">
        <v>0.588</v>
      </c>
    </row>
    <row r="39" customFormat="false" ht="15" hidden="false" customHeight="false" outlineLevel="0" collapsed="false">
      <c r="A39" s="3" t="n">
        <v>2023</v>
      </c>
      <c r="B39" s="3" t="s">
        <v>27</v>
      </c>
      <c r="C39" s="3" t="s">
        <v>102</v>
      </c>
      <c r="D39" s="3" t="n">
        <v>3870</v>
      </c>
      <c r="E39" s="3" t="n">
        <v>5543</v>
      </c>
      <c r="F39" s="3" t="n">
        <v>221000</v>
      </c>
      <c r="G39" s="3" t="n">
        <v>307788</v>
      </c>
      <c r="H39" s="8" t="n">
        <v>0.589</v>
      </c>
    </row>
    <row r="40" customFormat="false" ht="15" hidden="false" customHeight="false" outlineLevel="0" collapsed="false">
      <c r="A40" s="2" t="n">
        <v>2023</v>
      </c>
      <c r="B40" s="2" t="s">
        <v>29</v>
      </c>
      <c r="C40" s="2" t="s">
        <v>103</v>
      </c>
      <c r="D40" s="2" t="n">
        <v>3820</v>
      </c>
      <c r="E40" s="2" t="n">
        <v>5511</v>
      </c>
      <c r="F40" s="2" t="n">
        <v>217000</v>
      </c>
      <c r="G40" s="2" t="n">
        <v>304562</v>
      </c>
      <c r="H40" s="7" t="n">
        <v>0.591</v>
      </c>
    </row>
    <row r="41" customFormat="false" ht="15" hidden="false" customHeight="false" outlineLevel="0" collapsed="false">
      <c r="A41" s="3" t="n">
        <v>2023</v>
      </c>
      <c r="B41" s="3" t="s">
        <v>31</v>
      </c>
      <c r="C41" s="3" t="s">
        <v>104</v>
      </c>
      <c r="D41" s="3" t="n">
        <v>4060</v>
      </c>
      <c r="E41" s="3" t="n">
        <v>5903</v>
      </c>
      <c r="F41" s="3" t="n">
        <v>228000</v>
      </c>
      <c r="G41" s="3" t="n">
        <v>323477</v>
      </c>
      <c r="H41" s="8" t="n">
        <v>0.593</v>
      </c>
    </row>
    <row r="42" customFormat="false" ht="15" hidden="false" customHeight="false" outlineLevel="0" collapsed="false">
      <c r="A42" s="2" t="n">
        <v>2023</v>
      </c>
      <c r="B42" s="2" t="s">
        <v>9</v>
      </c>
      <c r="C42" s="2" t="s">
        <v>105</v>
      </c>
      <c r="D42" s="2" t="n">
        <v>4310</v>
      </c>
      <c r="E42" s="2" t="n">
        <v>6274</v>
      </c>
      <c r="F42" s="2" t="n">
        <v>241000</v>
      </c>
      <c r="G42" s="2" t="n">
        <v>337074</v>
      </c>
      <c r="H42" s="7" t="n">
        <v>0.593</v>
      </c>
    </row>
    <row r="43" customFormat="false" ht="15" hidden="false" customHeight="false" outlineLevel="0" collapsed="false">
      <c r="A43" s="3" t="n">
        <v>2023</v>
      </c>
      <c r="B43" s="3" t="s">
        <v>11</v>
      </c>
      <c r="C43" s="3" t="s">
        <v>106</v>
      </c>
      <c r="D43" s="3" t="n">
        <v>4280</v>
      </c>
      <c r="E43" s="3" t="n">
        <v>6280</v>
      </c>
      <c r="F43" s="3" t="n">
        <v>237000</v>
      </c>
      <c r="G43" s="3" t="n">
        <v>335262</v>
      </c>
      <c r="H43" s="8" t="n">
        <v>0.595</v>
      </c>
    </row>
    <row r="44" customFormat="false" ht="15" hidden="false" customHeight="false" outlineLevel="0" collapsed="false">
      <c r="A44" s="2" t="n">
        <v>2023</v>
      </c>
      <c r="B44" s="2" t="s">
        <v>13</v>
      </c>
      <c r="C44" s="2" t="s">
        <v>107</v>
      </c>
      <c r="D44" s="2" t="n">
        <v>4590</v>
      </c>
      <c r="E44" s="2" t="n">
        <v>6817</v>
      </c>
      <c r="F44" s="2" t="n">
        <v>254000</v>
      </c>
      <c r="G44" s="2" t="n">
        <v>365994</v>
      </c>
      <c r="H44" s="7" t="n">
        <v>0.598</v>
      </c>
    </row>
    <row r="45" customFormat="false" ht="15" hidden="false" customHeight="false" outlineLevel="0" collapsed="false">
      <c r="A45" s="3" t="n">
        <v>2023</v>
      </c>
      <c r="B45" s="3" t="s">
        <v>15</v>
      </c>
      <c r="C45" s="3" t="s">
        <v>108</v>
      </c>
      <c r="D45" s="3" t="n">
        <v>4490</v>
      </c>
      <c r="E45" s="3" t="n">
        <v>6745</v>
      </c>
      <c r="F45" s="3" t="n">
        <v>246000</v>
      </c>
      <c r="G45" s="3" t="n">
        <v>360479</v>
      </c>
      <c r="H45" s="8" t="n">
        <v>0.6</v>
      </c>
    </row>
    <row r="46" customFormat="false" ht="15" hidden="false" customHeight="false" outlineLevel="0" collapsed="false">
      <c r="A46" s="2" t="n">
        <v>2023</v>
      </c>
      <c r="B46" s="2" t="s">
        <v>17</v>
      </c>
      <c r="C46" s="2" t="s">
        <v>109</v>
      </c>
      <c r="D46" s="2" t="n">
        <v>4780</v>
      </c>
      <c r="E46" s="2" t="n">
        <v>7240</v>
      </c>
      <c r="F46" s="2" t="n">
        <v>260000</v>
      </c>
      <c r="G46" s="2" t="n">
        <v>384293</v>
      </c>
      <c r="H46" s="7" t="n">
        <v>0.602</v>
      </c>
    </row>
    <row r="47" customFormat="false" ht="15" hidden="false" customHeight="false" outlineLevel="0" collapsed="false">
      <c r="A47" s="3" t="n">
        <v>2024</v>
      </c>
      <c r="B47" s="3" t="s">
        <v>19</v>
      </c>
      <c r="C47" s="3" t="s">
        <v>110</v>
      </c>
      <c r="D47" s="3" t="n">
        <v>4840</v>
      </c>
      <c r="E47" s="3" t="n">
        <v>7349</v>
      </c>
      <c r="F47" s="3" t="n">
        <v>264000</v>
      </c>
      <c r="G47" s="3" t="n">
        <v>397540</v>
      </c>
      <c r="H47" s="8" t="n">
        <v>0.603</v>
      </c>
    </row>
    <row r="48" customFormat="false" ht="15" hidden="false" customHeight="false" outlineLevel="0" collapsed="false">
      <c r="A48" s="2" t="n">
        <v>2024</v>
      </c>
      <c r="B48" s="2" t="s">
        <v>21</v>
      </c>
      <c r="C48" s="2" t="s">
        <v>111</v>
      </c>
      <c r="D48" s="2" t="n">
        <v>4790</v>
      </c>
      <c r="E48" s="2" t="n">
        <v>7270</v>
      </c>
      <c r="F48" s="2" t="n">
        <v>260000</v>
      </c>
      <c r="G48" s="2" t="n">
        <v>388479</v>
      </c>
      <c r="H48" s="7" t="n">
        <v>0.603</v>
      </c>
    </row>
    <row r="49" customFormat="false" ht="15" hidden="false" customHeight="false" outlineLevel="0" collapsed="false">
      <c r="A49" s="3" t="n">
        <v>2024</v>
      </c>
      <c r="B49" s="3" t="s">
        <v>23</v>
      </c>
      <c r="C49" s="3" t="s">
        <v>112</v>
      </c>
      <c r="D49" s="3" t="n">
        <v>5320</v>
      </c>
      <c r="E49" s="3" t="n">
        <v>8125</v>
      </c>
      <c r="F49" s="3" t="n">
        <v>285000</v>
      </c>
      <c r="G49" s="3" t="n">
        <v>439701</v>
      </c>
      <c r="H49" s="8" t="n">
        <v>0.604</v>
      </c>
    </row>
    <row r="50" customFormat="false" ht="15" hidden="false" customHeight="false" outlineLevel="0" collapsed="false">
      <c r="A50" s="2" t="n">
        <v>2024</v>
      </c>
      <c r="B50" s="2" t="s">
        <v>25</v>
      </c>
      <c r="C50" s="2" t="s">
        <v>113</v>
      </c>
      <c r="D50" s="2" t="n">
        <v>5260</v>
      </c>
      <c r="E50" s="2" t="n">
        <v>8043</v>
      </c>
      <c r="F50" s="2" t="n">
        <v>281000</v>
      </c>
      <c r="G50" s="2" t="n">
        <v>435765</v>
      </c>
      <c r="H50" s="7" t="n">
        <v>0.604</v>
      </c>
    </row>
    <row r="51" customFormat="false" ht="15" hidden="false" customHeight="false" outlineLevel="0" collapsed="false">
      <c r="A51" s="3" t="n">
        <v>2024</v>
      </c>
      <c r="B51" s="3" t="s">
        <v>27</v>
      </c>
      <c r="C51" s="3" t="s">
        <v>114</v>
      </c>
      <c r="D51" s="3" t="n">
        <v>5520</v>
      </c>
      <c r="E51" s="3" t="n">
        <v>8517</v>
      </c>
      <c r="F51" s="3" t="n">
        <v>293000</v>
      </c>
      <c r="G51" s="3" t="n">
        <v>461267</v>
      </c>
      <c r="H51" s="8" t="n">
        <v>0.607</v>
      </c>
    </row>
    <row r="52" customFormat="false" ht="15" hidden="false" customHeight="false" outlineLevel="0" collapsed="false">
      <c r="A52" s="2" t="n">
        <v>2024</v>
      </c>
      <c r="B52" s="2" t="s">
        <v>29</v>
      </c>
      <c r="C52" s="2" t="s">
        <v>115</v>
      </c>
      <c r="D52" s="2" t="n">
        <v>5450</v>
      </c>
      <c r="E52" s="2" t="n">
        <v>8437</v>
      </c>
      <c r="F52" s="2" t="n">
        <v>287000</v>
      </c>
      <c r="G52" s="2" t="n">
        <v>446434</v>
      </c>
      <c r="H52" s="7" t="n">
        <v>0.608</v>
      </c>
    </row>
    <row r="53" customFormat="false" ht="15" hidden="false" customHeight="false" outlineLevel="0" collapsed="false">
      <c r="A53" s="3" t="n">
        <v>2024</v>
      </c>
      <c r="B53" s="3" t="s">
        <v>31</v>
      </c>
      <c r="C53" s="3" t="s">
        <v>116</v>
      </c>
      <c r="D53" s="3" t="n">
        <v>5640</v>
      </c>
      <c r="E53" s="3" t="n">
        <v>8800</v>
      </c>
      <c r="F53" s="3" t="n">
        <v>297000</v>
      </c>
      <c r="G53" s="3" t="n">
        <v>468215</v>
      </c>
      <c r="H53" s="8" t="n">
        <v>0.609</v>
      </c>
    </row>
    <row r="54" customFormat="false" ht="15" hidden="false" customHeight="false" outlineLevel="0" collapsed="false">
      <c r="A54" s="2" t="n">
        <v>2024</v>
      </c>
      <c r="B54" s="2" t="s">
        <v>9</v>
      </c>
      <c r="C54" s="2" t="s">
        <v>117</v>
      </c>
      <c r="D54" s="2" t="n">
        <v>5840</v>
      </c>
      <c r="E54" s="2" t="n">
        <v>9124</v>
      </c>
      <c r="F54" s="2" t="n">
        <v>308000</v>
      </c>
      <c r="G54" s="2" t="n">
        <v>485980</v>
      </c>
      <c r="H54" s="7" t="n">
        <v>0.61</v>
      </c>
    </row>
    <row r="55" customFormat="false" ht="15" hidden="false" customHeight="false" outlineLevel="0" collapsed="false">
      <c r="A55" s="3" t="n">
        <v>2024</v>
      </c>
      <c r="B55" s="3" t="s">
        <v>11</v>
      </c>
      <c r="C55" s="3" t="s">
        <v>118</v>
      </c>
      <c r="D55" s="3" t="n">
        <v>5840</v>
      </c>
      <c r="E55" s="3" t="n">
        <v>9207</v>
      </c>
      <c r="F55" s="3" t="n">
        <v>308000</v>
      </c>
      <c r="G55" s="3" t="n">
        <v>489399</v>
      </c>
      <c r="H55" s="8" t="n">
        <v>0.612</v>
      </c>
    </row>
    <row r="56" customFormat="false" ht="15" hidden="false" customHeight="false" outlineLevel="0" collapsed="false">
      <c r="A56" s="2" t="n">
        <v>2024</v>
      </c>
      <c r="B56" s="2" t="s">
        <v>13</v>
      </c>
      <c r="C56" s="2" t="s">
        <v>119</v>
      </c>
      <c r="D56" s="2" t="n">
        <v>6390</v>
      </c>
      <c r="E56" s="2" t="n">
        <v>10195</v>
      </c>
      <c r="F56" s="2" t="n">
        <v>340000</v>
      </c>
      <c r="G56" s="2" t="n">
        <v>522539</v>
      </c>
      <c r="H56" s="7" t="n">
        <v>0.615</v>
      </c>
    </row>
    <row r="57" customFormat="false" ht="15" hidden="false" customHeight="false" outlineLevel="0" collapsed="false">
      <c r="A57" s="3" t="n">
        <v>2024</v>
      </c>
      <c r="B57" s="3" t="s">
        <v>15</v>
      </c>
      <c r="C57" s="3" t="s">
        <v>120</v>
      </c>
      <c r="D57" s="3" t="n">
        <v>5950</v>
      </c>
      <c r="E57" s="3" t="n">
        <v>9532</v>
      </c>
      <c r="F57" s="3" t="n">
        <v>313000</v>
      </c>
      <c r="G57" s="3" t="n">
        <v>508649</v>
      </c>
      <c r="H57" s="8" t="n">
        <v>0.616</v>
      </c>
    </row>
    <row r="58" customFormat="false" ht="15" hidden="false" customHeight="false" outlineLevel="0" collapsed="false">
      <c r="A58" s="2" t="n">
        <v>2024</v>
      </c>
      <c r="B58" s="2" t="s">
        <v>17</v>
      </c>
      <c r="C58" s="2" t="s">
        <v>121</v>
      </c>
      <c r="D58" s="2" t="n">
        <v>6380</v>
      </c>
      <c r="E58" s="2" t="n">
        <v>10355</v>
      </c>
      <c r="F58" s="2" t="n">
        <v>336000</v>
      </c>
      <c r="G58" s="2" t="n">
        <v>544756</v>
      </c>
      <c r="H58" s="7" t="n">
        <v>0.619</v>
      </c>
    </row>
    <row r="59" customFormat="false" ht="15" hidden="false" customHeight="false" outlineLevel="0" collapsed="false">
      <c r="A59" s="3" t="n">
        <v>2025</v>
      </c>
      <c r="B59" s="3" t="s">
        <v>19</v>
      </c>
      <c r="C59" s="3" t="s">
        <v>122</v>
      </c>
      <c r="D59" s="3" t="n">
        <v>6520</v>
      </c>
      <c r="E59" s="3" t="n">
        <v>10679</v>
      </c>
      <c r="F59" s="3" t="n">
        <v>342000</v>
      </c>
      <c r="G59" s="3" t="n">
        <v>555875</v>
      </c>
      <c r="H59" s="8" t="n">
        <v>0.621</v>
      </c>
    </row>
    <row r="60" customFormat="false" ht="15" hidden="false" customHeight="false" outlineLevel="0" collapsed="false">
      <c r="A60" s="2" t="n">
        <v>2025</v>
      </c>
      <c r="B60" s="2" t="s">
        <v>21</v>
      </c>
      <c r="C60" s="2" t="s">
        <v>123</v>
      </c>
      <c r="D60" s="2" t="n">
        <v>6090</v>
      </c>
      <c r="E60" s="2" t="n">
        <v>10029</v>
      </c>
      <c r="F60" s="2" t="n">
        <v>319000</v>
      </c>
      <c r="G60" s="2" t="n">
        <v>523812</v>
      </c>
      <c r="H60" s="7" t="n">
        <v>0.622</v>
      </c>
    </row>
    <row r="61" customFormat="false" ht="15" hidden="false" customHeight="false" outlineLevel="0" collapsed="false">
      <c r="A61" s="3" t="n">
        <v>2025</v>
      </c>
      <c r="B61" s="3" t="s">
        <v>23</v>
      </c>
      <c r="C61" s="3" t="s">
        <v>124</v>
      </c>
      <c r="D61" s="3" t="n">
        <v>7470</v>
      </c>
      <c r="E61" s="3" t="n">
        <v>12311</v>
      </c>
      <c r="F61" s="3" t="n">
        <v>391000</v>
      </c>
      <c r="G61" s="3" t="n">
        <v>610107</v>
      </c>
      <c r="H61" s="8" t="n">
        <v>0.623</v>
      </c>
    </row>
    <row r="62" customFormat="false" ht="15" hidden="false" customHeight="false" outlineLevel="0" collapsed="false">
      <c r="A62" s="2" t="n">
        <v>2025</v>
      </c>
      <c r="B62" s="2" t="s">
        <v>25</v>
      </c>
      <c r="C62" s="2" t="s">
        <v>125</v>
      </c>
      <c r="D62" s="2" t="n">
        <v>7020</v>
      </c>
      <c r="E62" s="2" t="n">
        <v>11618</v>
      </c>
      <c r="F62" s="2" t="n">
        <v>367000</v>
      </c>
      <c r="G62" s="2" t="n">
        <v>597234</v>
      </c>
      <c r="H62" s="7" t="n">
        <v>0.624</v>
      </c>
    </row>
    <row r="63" customFormat="false" ht="15" hidden="false" customHeight="false" outlineLevel="0" collapsed="false">
      <c r="A63" s="3" t="n">
        <v>2025</v>
      </c>
      <c r="B63" s="3" t="s">
        <v>27</v>
      </c>
      <c r="C63" s="3" t="s">
        <v>126</v>
      </c>
      <c r="D63" s="3" t="n">
        <v>7090</v>
      </c>
      <c r="E63" s="3" t="n">
        <v>11779</v>
      </c>
      <c r="F63" s="3" t="n">
        <v>372000</v>
      </c>
      <c r="G63" s="3" t="n">
        <v>606321</v>
      </c>
      <c r="H63" s="8" t="n">
        <v>0.624</v>
      </c>
    </row>
    <row r="64" customFormat="false" ht="15" hidden="false" customHeight="false" outlineLevel="0" collapsed="false">
      <c r="A64" s="2" t="n">
        <v>2025</v>
      </c>
      <c r="B64" s="2" t="s">
        <v>29</v>
      </c>
      <c r="C64" s="2" t="s">
        <v>127</v>
      </c>
      <c r="D64" s="2" t="n">
        <v>6840</v>
      </c>
      <c r="E64" s="2" t="n">
        <v>11550</v>
      </c>
      <c r="F64" s="2" t="n">
        <v>357000</v>
      </c>
      <c r="G64" s="2" t="n">
        <v>2046000</v>
      </c>
      <c r="H64" s="7" t="n">
        <v>0.628</v>
      </c>
    </row>
    <row r="65" customFormat="false" ht="15" hidden="false" customHeight="false" outlineLevel="0" collapsed="false">
      <c r="A65" s="3" t="n">
        <v>2025</v>
      </c>
      <c r="B65" s="3" t="s">
        <v>31</v>
      </c>
      <c r="C65" s="3" t="s">
        <v>128</v>
      </c>
      <c r="D65" s="3" t="n">
        <v>6960</v>
      </c>
      <c r="E65" s="3" t="n">
        <v>11840</v>
      </c>
      <c r="F65" s="3" t="n">
        <v>364000</v>
      </c>
      <c r="G65" s="3" t="n">
        <v>2056000</v>
      </c>
      <c r="H65" s="8" t="n">
        <v>0.63</v>
      </c>
    </row>
    <row r="66" customFormat="false" ht="15" hidden="false" customHeight="false" outlineLevel="0" collapsed="false">
      <c r="A66" s="2" t="n">
        <v>2025</v>
      </c>
      <c r="B66" s="2" t="s">
        <v>9</v>
      </c>
      <c r="C66" s="2" t="s">
        <v>129</v>
      </c>
      <c r="D66" s="2" t="n">
        <v>7400</v>
      </c>
      <c r="E66" s="2" t="n">
        <v>12600</v>
      </c>
      <c r="F66" s="2" t="n">
        <v>388000</v>
      </c>
      <c r="G66" s="2" t="n">
        <v>2097000</v>
      </c>
      <c r="H66" s="7" t="n">
        <v>0.63</v>
      </c>
    </row>
    <row r="67" customFormat="false" ht="15" hidden="false" customHeight="false" outlineLevel="0" collapsed="false">
      <c r="A67" s="3" t="n">
        <v>2025</v>
      </c>
      <c r="B67" s="3" t="s">
        <v>11</v>
      </c>
      <c r="C67" s="3" t="s">
        <v>130</v>
      </c>
      <c r="D67" s="3" t="n">
        <v>7050</v>
      </c>
      <c r="E67" s="3" t="n">
        <v>11930</v>
      </c>
      <c r="F67" s="3" t="n">
        <v>369000</v>
      </c>
      <c r="G67" s="3" t="n">
        <v>2081000</v>
      </c>
      <c r="H67" s="8" t="n">
        <v>0.628</v>
      </c>
    </row>
    <row r="68" customFormat="false" ht="15" hidden="false" customHeight="false" outlineLevel="0" collapsed="false">
      <c r="A68" s="2" t="n">
        <v>2025</v>
      </c>
      <c r="B68" s="2" t="s">
        <v>13</v>
      </c>
      <c r="C68" s="2" t="s">
        <v>131</v>
      </c>
      <c r="D68" s="2" t="n">
        <v>7200</v>
      </c>
      <c r="E68" s="2" t="n">
        <v>12220</v>
      </c>
      <c r="F68" s="2" t="n">
        <v>377000</v>
      </c>
      <c r="G68" s="2" t="n">
        <v>2351000</v>
      </c>
      <c r="H68" s="7" t="n">
        <v>0.629</v>
      </c>
    </row>
    <row r="69" customFormat="false" ht="15" hidden="false" customHeight="false" outlineLevel="0" collapsed="false">
      <c r="A69" s="3" t="n">
        <v>2025</v>
      </c>
      <c r="B69" s="3" t="s">
        <v>15</v>
      </c>
      <c r="C69" s="3" t="s">
        <v>132</v>
      </c>
      <c r="D69" s="3" t="n">
        <v>7580</v>
      </c>
      <c r="E69" s="3" t="n">
        <v>12890</v>
      </c>
      <c r="F69" s="3" t="n">
        <v>397000</v>
      </c>
      <c r="G69" s="3" t="n">
        <v>2235000</v>
      </c>
      <c r="H69" s="8" t="n">
        <v>0.63</v>
      </c>
    </row>
    <row r="70" customFormat="false" ht="15" hidden="false" customHeight="false" outlineLevel="0" collapsed="false">
      <c r="A70" s="2" t="n">
        <v>2025</v>
      </c>
      <c r="B70" s="2" t="s">
        <v>17</v>
      </c>
      <c r="C70" s="2" t="s">
        <v>133</v>
      </c>
      <c r="D70" s="2" t="n">
        <v>8010</v>
      </c>
      <c r="E70" s="2" t="n">
        <v>13620</v>
      </c>
      <c r="F70" s="2" t="n">
        <v>419000</v>
      </c>
      <c r="G70" s="2" t="n">
        <v>2378000</v>
      </c>
      <c r="H70" s="7" t="n">
        <v>0.63</v>
      </c>
    </row>
    <row r="72" customFormat="false" ht="15" hidden="false" customHeight="false" outlineLevel="0" collapsed="false">
      <c r="A72" s="6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</row>
    <row r="2" customFormat="false" ht="15" hidden="false" customHeight="false" outlineLevel="0" collapsed="false">
      <c r="A2" s="2" t="n">
        <v>2018</v>
      </c>
      <c r="B2" s="2" t="s">
        <v>164</v>
      </c>
      <c r="C2" s="9" t="n">
        <v>20</v>
      </c>
      <c r="D2" s="9" t="n">
        <v>35</v>
      </c>
      <c r="E2" s="9" t="n">
        <v>35</v>
      </c>
      <c r="F2" s="9" t="n">
        <v>10</v>
      </c>
    </row>
    <row r="3" customFormat="false" ht="15" hidden="false" customHeight="false" outlineLevel="0" collapsed="false">
      <c r="A3" s="3" t="n">
        <v>2018</v>
      </c>
      <c r="B3" s="3" t="s">
        <v>165</v>
      </c>
      <c r="C3" s="10" t="n">
        <v>22</v>
      </c>
      <c r="D3" s="10" t="n">
        <v>36</v>
      </c>
      <c r="E3" s="10" t="n">
        <v>33</v>
      </c>
      <c r="F3" s="10" t="n">
        <v>9</v>
      </c>
    </row>
    <row r="4" customFormat="false" ht="15" hidden="false" customHeight="false" outlineLevel="0" collapsed="false">
      <c r="A4" s="2" t="n">
        <v>2018</v>
      </c>
      <c r="B4" s="2" t="s">
        <v>166</v>
      </c>
      <c r="C4" s="9" t="n">
        <v>25</v>
      </c>
      <c r="D4" s="9" t="n">
        <v>36</v>
      </c>
      <c r="E4" s="9" t="n">
        <v>31</v>
      </c>
      <c r="F4" s="9" t="n">
        <v>8</v>
      </c>
    </row>
    <row r="5" customFormat="false" ht="15" hidden="false" customHeight="false" outlineLevel="0" collapsed="false">
      <c r="A5" s="3" t="n">
        <v>2018</v>
      </c>
      <c r="B5" s="3" t="s">
        <v>167</v>
      </c>
      <c r="C5" s="10" t="n">
        <v>27</v>
      </c>
      <c r="D5" s="10" t="n">
        <v>37</v>
      </c>
      <c r="E5" s="10" t="n">
        <v>29</v>
      </c>
      <c r="F5" s="10" t="n">
        <v>7</v>
      </c>
    </row>
    <row r="6" customFormat="false" ht="15" hidden="false" customHeight="false" outlineLevel="0" collapsed="false">
      <c r="A6" s="2" t="n">
        <v>2019</v>
      </c>
      <c r="B6" s="2" t="s">
        <v>164</v>
      </c>
      <c r="C6" s="9" t="n">
        <v>29</v>
      </c>
      <c r="D6" s="9" t="n">
        <v>37</v>
      </c>
      <c r="E6" s="9" t="n">
        <v>27</v>
      </c>
      <c r="F6" s="9" t="n">
        <v>7</v>
      </c>
    </row>
    <row r="7" customFormat="false" ht="15" hidden="false" customHeight="false" outlineLevel="0" collapsed="false">
      <c r="A7" s="3" t="n">
        <v>2019</v>
      </c>
      <c r="B7" s="3" t="s">
        <v>165</v>
      </c>
      <c r="C7" s="10" t="n">
        <v>31</v>
      </c>
      <c r="D7" s="10" t="n">
        <v>37</v>
      </c>
      <c r="E7" s="10" t="n">
        <v>25</v>
      </c>
      <c r="F7" s="10" t="n">
        <v>7</v>
      </c>
    </row>
    <row r="8" customFormat="false" ht="15" hidden="false" customHeight="false" outlineLevel="0" collapsed="false">
      <c r="A8" s="2" t="n">
        <v>2019</v>
      </c>
      <c r="B8" s="2" t="s">
        <v>166</v>
      </c>
      <c r="C8" s="9" t="n">
        <v>33</v>
      </c>
      <c r="D8" s="9" t="n">
        <v>36</v>
      </c>
      <c r="E8" s="9" t="n">
        <v>24</v>
      </c>
      <c r="F8" s="9" t="n">
        <v>7</v>
      </c>
    </row>
    <row r="9" customFormat="false" ht="15" hidden="false" customHeight="false" outlineLevel="0" collapsed="false">
      <c r="A9" s="3" t="n">
        <v>2019</v>
      </c>
      <c r="B9" s="3" t="s">
        <v>167</v>
      </c>
      <c r="C9" s="10" t="n">
        <v>35</v>
      </c>
      <c r="D9" s="10" t="n">
        <v>36</v>
      </c>
      <c r="E9" s="10" t="n">
        <v>23</v>
      </c>
      <c r="F9" s="10" t="n">
        <v>6</v>
      </c>
    </row>
    <row r="10" customFormat="false" ht="15" hidden="false" customHeight="false" outlineLevel="0" collapsed="false">
      <c r="A10" s="2" t="n">
        <v>2020</v>
      </c>
      <c r="B10" s="2" t="s">
        <v>164</v>
      </c>
      <c r="C10" s="9" t="n">
        <v>37</v>
      </c>
      <c r="D10" s="9" t="n">
        <v>36</v>
      </c>
      <c r="E10" s="9" t="n">
        <v>21</v>
      </c>
      <c r="F10" s="9" t="n">
        <v>6</v>
      </c>
    </row>
    <row r="11" customFormat="false" ht="15" hidden="false" customHeight="false" outlineLevel="0" collapsed="false">
      <c r="A11" s="3" t="n">
        <v>2020</v>
      </c>
      <c r="B11" s="3" t="s">
        <v>165</v>
      </c>
      <c r="C11" s="10" t="n">
        <v>39</v>
      </c>
      <c r="D11" s="10" t="n">
        <v>35</v>
      </c>
      <c r="E11" s="10" t="n">
        <v>20</v>
      </c>
      <c r="F11" s="10" t="n">
        <v>6</v>
      </c>
    </row>
    <row r="12" customFormat="false" ht="15" hidden="false" customHeight="false" outlineLevel="0" collapsed="false">
      <c r="A12" s="2" t="n">
        <v>2020</v>
      </c>
      <c r="B12" s="2" t="s">
        <v>166</v>
      </c>
      <c r="C12" s="9" t="n">
        <v>40</v>
      </c>
      <c r="D12" s="9" t="n">
        <v>35</v>
      </c>
      <c r="E12" s="9" t="n">
        <v>19</v>
      </c>
      <c r="F12" s="9" t="n">
        <v>6</v>
      </c>
    </row>
    <row r="13" customFormat="false" ht="15" hidden="false" customHeight="false" outlineLevel="0" collapsed="false">
      <c r="A13" s="3" t="n">
        <v>2020</v>
      </c>
      <c r="B13" s="3" t="s">
        <v>167</v>
      </c>
      <c r="C13" s="10" t="n">
        <v>41</v>
      </c>
      <c r="D13" s="10" t="n">
        <v>35</v>
      </c>
      <c r="E13" s="10" t="n">
        <v>18</v>
      </c>
      <c r="F13" s="10" t="n">
        <v>6</v>
      </c>
    </row>
    <row r="14" customFormat="false" ht="15" hidden="false" customHeight="false" outlineLevel="0" collapsed="false">
      <c r="A14" s="2" t="n">
        <v>2021</v>
      </c>
      <c r="B14" s="2" t="s">
        <v>164</v>
      </c>
      <c r="C14" s="9" t="n">
        <v>42</v>
      </c>
      <c r="D14" s="9" t="n">
        <v>35</v>
      </c>
      <c r="E14" s="9" t="n">
        <v>17</v>
      </c>
      <c r="F14" s="9" t="n">
        <v>6</v>
      </c>
    </row>
    <row r="15" customFormat="false" ht="15" hidden="false" customHeight="false" outlineLevel="0" collapsed="false">
      <c r="A15" s="3" t="n">
        <v>2021</v>
      </c>
      <c r="B15" s="3" t="s">
        <v>165</v>
      </c>
      <c r="C15" s="10" t="n">
        <v>43</v>
      </c>
      <c r="D15" s="10" t="n">
        <v>35</v>
      </c>
      <c r="E15" s="10" t="n">
        <v>16</v>
      </c>
      <c r="F15" s="10" t="n">
        <v>6</v>
      </c>
    </row>
    <row r="16" customFormat="false" ht="15" hidden="false" customHeight="false" outlineLevel="0" collapsed="false">
      <c r="A16" s="2" t="n">
        <v>2021</v>
      </c>
      <c r="B16" s="2" t="s">
        <v>166</v>
      </c>
      <c r="C16" s="9" t="n">
        <v>44</v>
      </c>
      <c r="D16" s="9" t="n">
        <v>35</v>
      </c>
      <c r="E16" s="9" t="n">
        <v>15</v>
      </c>
      <c r="F16" s="9" t="n">
        <v>6</v>
      </c>
    </row>
    <row r="17" customFormat="false" ht="15" hidden="false" customHeight="false" outlineLevel="0" collapsed="false">
      <c r="A17" s="3" t="n">
        <v>2021</v>
      </c>
      <c r="B17" s="3" t="s">
        <v>167</v>
      </c>
      <c r="C17" s="10" t="n">
        <v>45</v>
      </c>
      <c r="D17" s="10" t="n">
        <v>35</v>
      </c>
      <c r="E17" s="10" t="n">
        <v>14</v>
      </c>
      <c r="F17" s="10" t="n">
        <v>6</v>
      </c>
    </row>
    <row r="18" customFormat="false" ht="15" hidden="false" customHeight="false" outlineLevel="0" collapsed="false">
      <c r="A18" s="2" t="n">
        <v>2022</v>
      </c>
      <c r="B18" s="2" t="s">
        <v>164</v>
      </c>
      <c r="C18" s="9" t="n">
        <v>46</v>
      </c>
      <c r="D18" s="9" t="n">
        <v>35</v>
      </c>
      <c r="E18" s="9" t="n">
        <v>13</v>
      </c>
      <c r="F18" s="9" t="n">
        <v>6</v>
      </c>
    </row>
    <row r="19" customFormat="false" ht="15" hidden="false" customHeight="false" outlineLevel="0" collapsed="false">
      <c r="A19" s="3" t="n">
        <v>2022</v>
      </c>
      <c r="B19" s="3" t="s">
        <v>165</v>
      </c>
      <c r="C19" s="10" t="n">
        <v>46</v>
      </c>
      <c r="D19" s="10" t="n">
        <v>34</v>
      </c>
      <c r="E19" s="10" t="n">
        <v>13</v>
      </c>
      <c r="F19" s="10" t="n">
        <v>7</v>
      </c>
    </row>
    <row r="20" customFormat="false" ht="15" hidden="false" customHeight="false" outlineLevel="0" collapsed="false">
      <c r="A20" s="2" t="n">
        <v>2022</v>
      </c>
      <c r="B20" s="2" t="s">
        <v>166</v>
      </c>
      <c r="C20" s="9" t="n">
        <v>47</v>
      </c>
      <c r="D20" s="9" t="n">
        <v>34</v>
      </c>
      <c r="E20" s="9" t="n">
        <v>12</v>
      </c>
      <c r="F20" s="9" t="n">
        <v>7</v>
      </c>
    </row>
    <row r="21" customFormat="false" ht="15" hidden="false" customHeight="false" outlineLevel="0" collapsed="false">
      <c r="A21" s="3" t="n">
        <v>2022</v>
      </c>
      <c r="B21" s="3" t="s">
        <v>167</v>
      </c>
      <c r="C21" s="10" t="n">
        <v>47</v>
      </c>
      <c r="D21" s="10" t="n">
        <v>33</v>
      </c>
      <c r="E21" s="10" t="n">
        <v>12</v>
      </c>
      <c r="F21" s="10" t="n">
        <v>8</v>
      </c>
    </row>
    <row r="22" customFormat="false" ht="15" hidden="false" customHeight="false" outlineLevel="0" collapsed="false">
      <c r="A22" s="2" t="n">
        <v>2023</v>
      </c>
      <c r="B22" s="2" t="s">
        <v>164</v>
      </c>
      <c r="C22" s="9" t="n">
        <v>47</v>
      </c>
      <c r="D22" s="9" t="n">
        <v>34</v>
      </c>
      <c r="E22" s="9" t="n">
        <v>12</v>
      </c>
      <c r="F22" s="9" t="n">
        <v>7</v>
      </c>
    </row>
    <row r="23" customFormat="false" ht="15" hidden="false" customHeight="false" outlineLevel="0" collapsed="false">
      <c r="A23" s="3" t="n">
        <v>2023</v>
      </c>
      <c r="B23" s="3" t="s">
        <v>165</v>
      </c>
      <c r="C23" s="10" t="n">
        <v>47</v>
      </c>
      <c r="D23" s="10" t="n">
        <v>34</v>
      </c>
      <c r="E23" s="10" t="n">
        <v>11</v>
      </c>
      <c r="F23" s="10" t="n">
        <v>8</v>
      </c>
    </row>
    <row r="24" customFormat="false" ht="15" hidden="false" customHeight="false" outlineLevel="0" collapsed="false">
      <c r="A24" s="2" t="n">
        <v>2023</v>
      </c>
      <c r="B24" s="2" t="s">
        <v>166</v>
      </c>
      <c r="C24" s="9" t="n">
        <v>48</v>
      </c>
      <c r="D24" s="9" t="n">
        <v>34</v>
      </c>
      <c r="E24" s="9" t="n">
        <v>10</v>
      </c>
      <c r="F24" s="9" t="n">
        <v>8</v>
      </c>
    </row>
    <row r="25" customFormat="false" ht="15" hidden="false" customHeight="false" outlineLevel="0" collapsed="false">
      <c r="A25" s="3" t="n">
        <v>2023</v>
      </c>
      <c r="B25" s="3" t="s">
        <v>167</v>
      </c>
      <c r="C25" s="10" t="n">
        <v>48</v>
      </c>
      <c r="D25" s="10" t="n">
        <v>35</v>
      </c>
      <c r="E25" s="10" t="n">
        <v>10</v>
      </c>
      <c r="F25" s="10" t="n">
        <v>7</v>
      </c>
    </row>
    <row r="26" customFormat="false" ht="15" hidden="false" customHeight="false" outlineLevel="0" collapsed="false">
      <c r="A26" s="2" t="n">
        <v>2024</v>
      </c>
      <c r="B26" s="2" t="s">
        <v>164</v>
      </c>
      <c r="C26" s="9" t="n">
        <v>48</v>
      </c>
      <c r="D26" s="9" t="n">
        <v>37</v>
      </c>
      <c r="E26" s="9" t="n">
        <v>8</v>
      </c>
      <c r="F26" s="9" t="n">
        <v>7</v>
      </c>
    </row>
    <row r="27" customFormat="false" ht="15" hidden="false" customHeight="false" outlineLevel="0" collapsed="false">
      <c r="A27" s="3" t="n">
        <v>2024</v>
      </c>
      <c r="B27" s="3" t="s">
        <v>165</v>
      </c>
      <c r="C27" s="10" t="n">
        <v>48</v>
      </c>
      <c r="D27" s="10" t="n">
        <v>37</v>
      </c>
      <c r="E27" s="10" t="n">
        <v>7</v>
      </c>
      <c r="F27" s="10" t="n">
        <v>8</v>
      </c>
    </row>
    <row r="28" customFormat="false" ht="15" hidden="false" customHeight="false" outlineLevel="0" collapsed="false">
      <c r="A28" s="2" t="n">
        <v>2024</v>
      </c>
      <c r="B28" s="2" t="s">
        <v>166</v>
      </c>
      <c r="C28" s="9" t="n">
        <v>48</v>
      </c>
      <c r="D28" s="9" t="n">
        <v>37</v>
      </c>
      <c r="E28" s="9" t="n">
        <v>7</v>
      </c>
      <c r="F28" s="9" t="n">
        <v>8</v>
      </c>
    </row>
    <row r="29" customFormat="false" ht="15" hidden="false" customHeight="false" outlineLevel="0" collapsed="false">
      <c r="A29" s="3" t="n">
        <v>2024</v>
      </c>
      <c r="B29" s="3" t="s">
        <v>167</v>
      </c>
      <c r="C29" s="10" t="n">
        <v>48</v>
      </c>
      <c r="D29" s="10" t="n">
        <v>37</v>
      </c>
      <c r="E29" s="10" t="n">
        <v>7</v>
      </c>
      <c r="F29" s="10" t="n">
        <v>8</v>
      </c>
    </row>
    <row r="30" customFormat="false" ht="15" hidden="false" customHeight="false" outlineLevel="0" collapsed="false">
      <c r="A30" s="2" t="n">
        <v>2025</v>
      </c>
      <c r="B30" s="2" t="s">
        <v>164</v>
      </c>
      <c r="C30" s="9" t="n">
        <v>48</v>
      </c>
      <c r="D30" s="9" t="n">
        <v>37</v>
      </c>
      <c r="E30" s="9" t="n">
        <v>7</v>
      </c>
      <c r="F30" s="9" t="n">
        <v>8</v>
      </c>
    </row>
    <row r="31" customFormat="false" ht="15" hidden="false" customHeight="false" outlineLevel="0" collapsed="false">
      <c r="A31" s="3" t="n">
        <v>2025</v>
      </c>
      <c r="B31" s="3" t="s">
        <v>165</v>
      </c>
      <c r="C31" s="10" t="n">
        <v>48</v>
      </c>
      <c r="D31" s="10" t="n">
        <v>37</v>
      </c>
      <c r="E31" s="10" t="n">
        <v>7</v>
      </c>
      <c r="F31" s="10" t="n">
        <v>8</v>
      </c>
    </row>
    <row r="32" customFormat="false" ht="15" hidden="false" customHeight="false" outlineLevel="0" collapsed="false">
      <c r="A32" s="2" t="n">
        <v>2025</v>
      </c>
      <c r="B32" s="2" t="s">
        <v>166</v>
      </c>
      <c r="C32" s="9" t="n">
        <v>48</v>
      </c>
      <c r="D32" s="9" t="n">
        <v>37</v>
      </c>
      <c r="E32" s="9" t="n">
        <v>7</v>
      </c>
      <c r="F32" s="9" t="n">
        <v>8</v>
      </c>
    </row>
    <row r="33" customFormat="false" ht="15" hidden="false" customHeight="false" outlineLevel="0" collapsed="false">
      <c r="A33" s="3" t="n">
        <v>2025</v>
      </c>
      <c r="B33" s="3" t="s">
        <v>167</v>
      </c>
      <c r="C33" s="10" t="n">
        <v>48</v>
      </c>
      <c r="D33" s="10" t="n">
        <v>37</v>
      </c>
      <c r="E33" s="10" t="n">
        <v>7</v>
      </c>
      <c r="F33" s="10" t="n">
        <v>8</v>
      </c>
    </row>
    <row r="35" customFormat="false" ht="15" hidden="false" customHeight="false" outlineLevel="0" collapsed="false">
      <c r="A35" s="6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7" min="6" style="0" width="24"/>
  </cols>
  <sheetData>
    <row r="1" customFormat="false" ht="15" hidden="false" customHeight="false" outlineLevel="0" collapsed="false">
      <c r="A1" s="1" t="s">
        <v>135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</row>
    <row r="2" customFormat="false" ht="15" hidden="false" customHeight="false" outlineLevel="0" collapsed="false">
      <c r="A2" s="2" t="s">
        <v>145</v>
      </c>
      <c r="B2" s="2" t="n">
        <v>12.52</v>
      </c>
      <c r="C2" s="2" t="n">
        <v>95000</v>
      </c>
      <c r="D2" s="2" t="n">
        <v>95</v>
      </c>
      <c r="E2" s="11" t="n">
        <v>0.008</v>
      </c>
      <c r="F2" s="2"/>
      <c r="G2" s="2"/>
    </row>
    <row r="3" customFormat="false" ht="15" hidden="false" customHeight="false" outlineLevel="0" collapsed="false">
      <c r="A3" s="3" t="s">
        <v>146</v>
      </c>
      <c r="B3" s="3" t="n">
        <v>22.33</v>
      </c>
      <c r="C3" s="3" t="n">
        <v>77000</v>
      </c>
      <c r="D3" s="3" t="n">
        <v>118</v>
      </c>
      <c r="E3" s="12" t="n">
        <v>0.003</v>
      </c>
      <c r="F3" s="3"/>
      <c r="G3" s="3"/>
    </row>
    <row r="4" customFormat="false" ht="15" hidden="false" customHeight="false" outlineLevel="0" collapsed="false">
      <c r="A4" s="2" t="s">
        <v>147</v>
      </c>
      <c r="B4" s="2" t="n">
        <v>45.96</v>
      </c>
      <c r="C4" s="2" t="n">
        <v>84000</v>
      </c>
      <c r="D4" s="2" t="n">
        <v>200</v>
      </c>
      <c r="E4" s="11" t="n">
        <v>0.002</v>
      </c>
      <c r="F4" s="2"/>
      <c r="G4" s="2"/>
    </row>
    <row r="5" customFormat="false" ht="15" hidden="false" customHeight="false" outlineLevel="0" collapsed="false">
      <c r="A5" s="3" t="s">
        <v>148</v>
      </c>
      <c r="B5" s="3" t="n">
        <v>83.71</v>
      </c>
      <c r="C5" s="3" t="n">
        <v>95000</v>
      </c>
      <c r="D5" s="3" t="n">
        <v>302</v>
      </c>
      <c r="E5" s="12" t="n">
        <v>0.001</v>
      </c>
      <c r="F5" s="3"/>
      <c r="G5" s="3" t="n">
        <v>82</v>
      </c>
    </row>
    <row r="6" customFormat="false" ht="15" hidden="false" customHeight="false" outlineLevel="0" collapsed="false">
      <c r="A6" s="2" t="s">
        <v>149</v>
      </c>
      <c r="B6" s="2" t="n">
        <v>131.13</v>
      </c>
      <c r="C6" s="2" t="n">
        <v>430000</v>
      </c>
      <c r="D6" s="2" t="n">
        <v>485</v>
      </c>
      <c r="E6" s="11" t="n">
        <v>0.001</v>
      </c>
      <c r="F6" s="2" t="n">
        <v>11279</v>
      </c>
      <c r="G6" s="2" t="n">
        <v>88</v>
      </c>
    </row>
    <row r="7" customFormat="false" ht="15" hidden="false" customHeight="false" outlineLevel="0" collapsed="false">
      <c r="A7" s="3" t="s">
        <v>150</v>
      </c>
      <c r="B7" s="3" t="n">
        <v>185</v>
      </c>
      <c r="C7" s="3" t="n">
        <v>632000</v>
      </c>
      <c r="D7" s="3" t="n">
        <v>1085</v>
      </c>
      <c r="E7" s="12" t="n">
        <v>0.001</v>
      </c>
      <c r="F7" s="3" t="n">
        <v>17165</v>
      </c>
      <c r="G7" s="3" t="n">
        <v>90</v>
      </c>
    </row>
    <row r="9" customFormat="false" ht="15" hidden="false" customHeight="false" outlineLevel="0" collapsed="false">
      <c r="A9" s="6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22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</row>
    <row r="2" customFormat="false" ht="15" hidden="false" customHeight="false" outlineLevel="0" collapsed="false">
      <c r="A2" s="13" t="s">
        <v>181</v>
      </c>
      <c r="B2" s="2" t="n">
        <v>27.8</v>
      </c>
      <c r="C2" s="2" t="n">
        <v>48.2</v>
      </c>
      <c r="D2" s="2" t="n">
        <v>185</v>
      </c>
      <c r="E2" s="2" t="s">
        <v>182</v>
      </c>
    </row>
    <row r="3" customFormat="false" ht="15" hidden="false" customHeight="false" outlineLevel="0" collapsed="false">
      <c r="A3" s="14" t="s">
        <v>183</v>
      </c>
      <c r="B3" s="3" t="n">
        <v>19.4</v>
      </c>
      <c r="C3" s="3" t="n">
        <v>28.7</v>
      </c>
      <c r="D3" s="3" t="n">
        <v>203</v>
      </c>
      <c r="E3" s="3" t="s">
        <v>182</v>
      </c>
    </row>
    <row r="4" customFormat="false" ht="15" hidden="false" customHeight="false" outlineLevel="0" collapsed="false">
      <c r="A4" s="13" t="s">
        <v>184</v>
      </c>
      <c r="B4" s="2" t="n">
        <v>18.6</v>
      </c>
      <c r="C4" s="2" t="n">
        <v>21.4</v>
      </c>
      <c r="D4" s="2" t="n">
        <v>62</v>
      </c>
      <c r="E4" s="2" t="s">
        <v>185</v>
      </c>
    </row>
    <row r="5" customFormat="false" ht="15" hidden="false" customHeight="false" outlineLevel="0" collapsed="false">
      <c r="A5" s="14" t="s">
        <v>186</v>
      </c>
      <c r="B5" s="3" t="n">
        <v>15.2</v>
      </c>
      <c r="C5" s="3" t="n">
        <v>19.8</v>
      </c>
      <c r="D5" s="3" t="n">
        <v>274</v>
      </c>
      <c r="E5" s="3" t="s">
        <v>182</v>
      </c>
    </row>
    <row r="6" customFormat="false" ht="15" hidden="false" customHeight="false" outlineLevel="0" collapsed="false">
      <c r="A6" s="13" t="s">
        <v>187</v>
      </c>
      <c r="B6" s="2" t="n">
        <v>13.9</v>
      </c>
      <c r="C6" s="2" t="n">
        <v>18.4</v>
      </c>
      <c r="D6" s="2" t="n">
        <v>155</v>
      </c>
      <c r="E6" s="2" t="s">
        <v>182</v>
      </c>
    </row>
    <row r="7" customFormat="false" ht="15" hidden="false" customHeight="false" outlineLevel="0" collapsed="false">
      <c r="A7" s="14" t="s">
        <v>188</v>
      </c>
      <c r="B7" s="3" t="n">
        <v>12.7</v>
      </c>
      <c r="C7" s="3" t="n">
        <v>20.1</v>
      </c>
      <c r="D7" s="3" t="n">
        <v>241</v>
      </c>
      <c r="E7" s="3" t="s">
        <v>182</v>
      </c>
    </row>
    <row r="8" customFormat="false" ht="15" hidden="false" customHeight="false" outlineLevel="0" collapsed="false">
      <c r="A8" s="13" t="s">
        <v>189</v>
      </c>
      <c r="B8" s="2" t="n">
        <v>10.3</v>
      </c>
      <c r="C8" s="2" t="n">
        <v>12.6</v>
      </c>
      <c r="D8" s="2" t="n">
        <v>87</v>
      </c>
      <c r="E8" s="2" t="s">
        <v>185</v>
      </c>
    </row>
    <row r="9" customFormat="false" ht="15" hidden="false" customHeight="false" outlineLevel="0" collapsed="false">
      <c r="A9" s="14" t="s">
        <v>190</v>
      </c>
      <c r="B9" s="3" t="n">
        <v>10.1</v>
      </c>
      <c r="C9" s="3" t="n">
        <v>14.7</v>
      </c>
      <c r="D9" s="3" t="n">
        <v>125</v>
      </c>
      <c r="E9" s="3" t="s">
        <v>182</v>
      </c>
    </row>
    <row r="10" customFormat="false" ht="15" hidden="false" customHeight="false" outlineLevel="0" collapsed="false">
      <c r="A10" s="13" t="s">
        <v>191</v>
      </c>
      <c r="B10" s="2" t="n">
        <v>9.8</v>
      </c>
      <c r="C10" s="2" t="n">
        <v>11.2</v>
      </c>
      <c r="D10" s="2" t="n">
        <v>138</v>
      </c>
      <c r="E10" s="2" t="s">
        <v>185</v>
      </c>
    </row>
    <row r="11" customFormat="false" ht="15" hidden="false" customHeight="false" outlineLevel="0" collapsed="false">
      <c r="A11" s="14" t="s">
        <v>192</v>
      </c>
      <c r="B11" s="3" t="n">
        <v>9.2</v>
      </c>
      <c r="C11" s="3" t="n">
        <v>10.8</v>
      </c>
      <c r="D11" s="3" t="n">
        <v>73</v>
      </c>
      <c r="E11" s="3" t="s">
        <v>185</v>
      </c>
    </row>
    <row r="12" customFormat="false" ht="15" hidden="false" customHeight="false" outlineLevel="0" collapsed="false">
      <c r="A12" s="13" t="s">
        <v>193</v>
      </c>
      <c r="B12" s="2" t="n">
        <v>7.6</v>
      </c>
      <c r="C12" s="2" t="n">
        <v>8.4</v>
      </c>
      <c r="D12" s="2" t="n">
        <v>71</v>
      </c>
      <c r="E12" s="2" t="s">
        <v>185</v>
      </c>
    </row>
    <row r="13" customFormat="false" ht="15" hidden="false" customHeight="false" outlineLevel="0" collapsed="false">
      <c r="A13" s="14" t="s">
        <v>194</v>
      </c>
      <c r="B13" s="3" t="n">
        <v>6.8</v>
      </c>
      <c r="C13" s="3" t="n">
        <v>9.2</v>
      </c>
      <c r="D13" s="3" t="n">
        <v>192</v>
      </c>
      <c r="E13" s="3" t="s">
        <v>182</v>
      </c>
    </row>
    <row r="14" customFormat="false" ht="15" hidden="false" customHeight="false" outlineLevel="0" collapsed="false">
      <c r="A14" s="13" t="s">
        <v>195</v>
      </c>
      <c r="B14" s="2" t="n">
        <v>5.9</v>
      </c>
      <c r="C14" s="2" t="n">
        <v>7.1</v>
      </c>
      <c r="D14" s="2" t="n">
        <v>141</v>
      </c>
      <c r="E14" s="2" t="s">
        <v>185</v>
      </c>
    </row>
    <row r="15" customFormat="false" ht="15" hidden="false" customHeight="false" outlineLevel="0" collapsed="false">
      <c r="A15" s="14" t="s">
        <v>196</v>
      </c>
      <c r="B15" s="3" t="n">
        <v>5.4</v>
      </c>
      <c r="C15" s="3" t="n">
        <v>5.2</v>
      </c>
      <c r="D15" s="3" t="n">
        <v>35</v>
      </c>
      <c r="E15" s="3" t="s">
        <v>197</v>
      </c>
    </row>
    <row r="16" customFormat="false" ht="15" hidden="false" customHeight="false" outlineLevel="0" collapsed="false">
      <c r="A16" s="13" t="s">
        <v>198</v>
      </c>
      <c r="B16" s="2" t="n">
        <v>4.2</v>
      </c>
      <c r="C16" s="2" t="n">
        <v>4.8</v>
      </c>
      <c r="D16" s="2" t="n">
        <v>71</v>
      </c>
      <c r="E16" s="2" t="s">
        <v>197</v>
      </c>
    </row>
    <row r="17" customFormat="false" ht="15" hidden="false" customHeight="false" outlineLevel="0" collapsed="false">
      <c r="A17" s="14" t="s">
        <v>199</v>
      </c>
      <c r="B17" s="3" t="n">
        <v>4.1</v>
      </c>
      <c r="C17" s="3" t="n">
        <v>5.9</v>
      </c>
      <c r="D17" s="3" t="n">
        <v>87</v>
      </c>
      <c r="E17" s="3" t="s">
        <v>185</v>
      </c>
    </row>
    <row r="18" customFormat="false" ht="15" hidden="false" customHeight="false" outlineLevel="0" collapsed="false">
      <c r="A18" s="13" t="s">
        <v>200</v>
      </c>
      <c r="B18" s="2" t="n">
        <v>2.8</v>
      </c>
      <c r="C18" s="2" t="n">
        <v>2.9</v>
      </c>
      <c r="D18" s="2" t="n">
        <v>59</v>
      </c>
      <c r="E18" s="2" t="s">
        <v>197</v>
      </c>
    </row>
    <row r="19" customFormat="false" ht="15" hidden="false" customHeight="false" outlineLevel="0" collapsed="false">
      <c r="A19" s="14" t="s">
        <v>201</v>
      </c>
      <c r="B19" s="3" t="n">
        <v>2.3</v>
      </c>
      <c r="C19" s="3" t="n">
        <v>2.4</v>
      </c>
      <c r="D19" s="3" t="n">
        <v>47</v>
      </c>
      <c r="E19" s="3" t="s">
        <v>197</v>
      </c>
    </row>
    <row r="20" customFormat="false" ht="15" hidden="false" customHeight="false" outlineLevel="0" collapsed="false">
      <c r="A20" s="13" t="s">
        <v>202</v>
      </c>
      <c r="B20" s="2" t="n">
        <v>2.1</v>
      </c>
      <c r="C20" s="2" t="n">
        <v>2.2</v>
      </c>
      <c r="D20" s="2" t="n">
        <v>58</v>
      </c>
      <c r="E20" s="2" t="s">
        <v>197</v>
      </c>
    </row>
    <row r="21" customFormat="false" ht="15" hidden="false" customHeight="false" outlineLevel="0" collapsed="false">
      <c r="A21" s="14" t="s">
        <v>203</v>
      </c>
      <c r="B21" s="3" t="n">
        <v>1.8</v>
      </c>
      <c r="C21" s="3" t="n">
        <v>2.1</v>
      </c>
      <c r="D21" s="3" t="n">
        <v>125</v>
      </c>
      <c r="E21" s="3" t="s">
        <v>185</v>
      </c>
    </row>
    <row r="22" customFormat="false" ht="15" hidden="false" customHeight="false" outlineLevel="0" collapsed="false">
      <c r="A22" s="13" t="s">
        <v>204</v>
      </c>
      <c r="B22" s="2" t="n">
        <v>0.9</v>
      </c>
      <c r="C22" s="2" t="n">
        <v>1</v>
      </c>
      <c r="D22" s="2" t="n">
        <v>108</v>
      </c>
      <c r="E22" s="2" t="s">
        <v>185</v>
      </c>
    </row>
    <row r="23" customFormat="false" ht="15" hidden="false" customHeight="false" outlineLevel="0" collapsed="false">
      <c r="A23" s="14" t="s">
        <v>205</v>
      </c>
      <c r="B23" s="3" t="n">
        <v>0.7</v>
      </c>
      <c r="C23" s="3" t="n">
        <v>1.1</v>
      </c>
      <c r="D23" s="3" t="n">
        <v>340</v>
      </c>
      <c r="E23" s="3" t="s">
        <v>182</v>
      </c>
    </row>
    <row r="24" customFormat="false" ht="15" hidden="false" customHeight="false" outlineLevel="0" collapsed="false">
      <c r="A24" s="13" t="s">
        <v>206</v>
      </c>
      <c r="B24" s="2" t="n">
        <v>51</v>
      </c>
      <c r="C24" s="2" t="n">
        <v>68.7</v>
      </c>
      <c r="D24" s="2"/>
      <c r="E24" s="2" t="s">
        <v>207</v>
      </c>
    </row>
    <row r="26" customFormat="false" ht="15" hidden="false" customHeight="false" outlineLevel="0" collapsed="false">
      <c r="A26" s="6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6"/>
  </cols>
  <sheetData>
    <row r="1" customFormat="false" ht="15" hidden="false" customHeight="false" outlineLevel="0" collapsed="false">
      <c r="A1" s="1" t="s">
        <v>209</v>
      </c>
      <c r="B1" s="1" t="s">
        <v>3</v>
      </c>
      <c r="C1" s="1" t="s">
        <v>210</v>
      </c>
      <c r="D1" s="1" t="s">
        <v>5</v>
      </c>
    </row>
    <row r="2" customFormat="false" ht="15" hidden="false" customHeight="false" outlineLevel="0" collapsed="false">
      <c r="A2" s="13" t="s">
        <v>211</v>
      </c>
      <c r="B2" s="2" t="n">
        <v>4200</v>
      </c>
      <c r="C2" s="2" t="n">
        <v>76833</v>
      </c>
      <c r="D2" s="2" t="n">
        <v>1829</v>
      </c>
    </row>
    <row r="3" customFormat="false" ht="15" hidden="false" customHeight="false" outlineLevel="0" collapsed="false">
      <c r="A3" s="14" t="s">
        <v>212</v>
      </c>
      <c r="B3" s="3" t="n">
        <v>2100</v>
      </c>
      <c r="C3" s="3" t="n">
        <v>17483</v>
      </c>
      <c r="D3" s="3" t="n">
        <v>833</v>
      </c>
    </row>
    <row r="4" customFormat="false" ht="15" hidden="false" customHeight="false" outlineLevel="0" collapsed="false">
      <c r="A4" s="13" t="s">
        <v>213</v>
      </c>
      <c r="B4" s="2" t="n">
        <v>1800</v>
      </c>
      <c r="C4" s="2" t="n">
        <v>15300</v>
      </c>
      <c r="D4" s="2" t="n">
        <v>850</v>
      </c>
    </row>
    <row r="5" customFormat="false" ht="15" hidden="false" customHeight="false" outlineLevel="0" collapsed="false">
      <c r="A5" s="14" t="s">
        <v>214</v>
      </c>
      <c r="B5" s="3" t="n">
        <v>980</v>
      </c>
      <c r="C5" s="3" t="n">
        <v>28420</v>
      </c>
      <c r="D5" s="3" t="n">
        <v>2900</v>
      </c>
    </row>
    <row r="6" customFormat="false" ht="15" hidden="false" customHeight="false" outlineLevel="0" collapsed="false">
      <c r="A6" s="13" t="s">
        <v>215</v>
      </c>
      <c r="B6" s="2" t="n">
        <v>820</v>
      </c>
      <c r="C6" s="2" t="n">
        <v>9840</v>
      </c>
      <c r="D6" s="2" t="n">
        <v>1200</v>
      </c>
    </row>
    <row r="7" customFormat="false" ht="15" hidden="false" customHeight="false" outlineLevel="0" collapsed="false">
      <c r="A7" s="14" t="s">
        <v>216</v>
      </c>
      <c r="B7" s="3" t="n">
        <v>750</v>
      </c>
      <c r="C7" s="3" t="n">
        <v>41250</v>
      </c>
      <c r="D7" s="3" t="n">
        <v>5500</v>
      </c>
    </row>
    <row r="8" customFormat="false" ht="15" hidden="false" customHeight="false" outlineLevel="0" collapsed="false">
      <c r="A8" s="13" t="s">
        <v>217</v>
      </c>
      <c r="B8" s="2" t="n">
        <v>620</v>
      </c>
      <c r="C8" s="2" t="n">
        <v>31000</v>
      </c>
      <c r="D8" s="2" t="n">
        <v>5000</v>
      </c>
    </row>
    <row r="9" customFormat="false" ht="15" hidden="false" customHeight="false" outlineLevel="0" collapsed="false">
      <c r="A9" s="14" t="s">
        <v>218</v>
      </c>
      <c r="B9" s="3" t="n">
        <v>580</v>
      </c>
      <c r="C9" s="3" t="n">
        <v>8120</v>
      </c>
      <c r="D9" s="3" t="n">
        <v>1400</v>
      </c>
    </row>
    <row r="10" customFormat="false" ht="15" hidden="false" customHeight="false" outlineLevel="0" collapsed="false">
      <c r="A10" s="13" t="s">
        <v>219</v>
      </c>
      <c r="B10" s="2" t="n">
        <v>320</v>
      </c>
      <c r="C10" s="2" t="n">
        <v>16000</v>
      </c>
      <c r="D10" s="2" t="n">
        <v>5000</v>
      </c>
    </row>
    <row r="11" customFormat="false" ht="15" hidden="false" customHeight="false" outlineLevel="0" collapsed="false">
      <c r="A11" s="14" t="s">
        <v>220</v>
      </c>
      <c r="B11" s="3" t="n">
        <v>280</v>
      </c>
      <c r="C11" s="3" t="n">
        <v>19600</v>
      </c>
      <c r="D11" s="3" t="n">
        <v>7000</v>
      </c>
    </row>
    <row r="12" customFormat="false" ht="15" hidden="false" customHeight="false" outlineLevel="0" collapsed="false">
      <c r="A12" s="13" t="s">
        <v>221</v>
      </c>
      <c r="B12" s="2" t="n">
        <v>500</v>
      </c>
      <c r="C12" s="2" t="n">
        <v>6000</v>
      </c>
      <c r="D12" s="2" t="n">
        <v>1200</v>
      </c>
    </row>
    <row r="13" customFormat="false" ht="15" hidden="false" customHeight="false" outlineLevel="0" collapsed="false">
      <c r="A13" s="14" t="s">
        <v>222</v>
      </c>
      <c r="B13" s="3" t="n">
        <v>380</v>
      </c>
      <c r="C13" s="3" t="n">
        <v>3040</v>
      </c>
      <c r="D13" s="3" t="n">
        <v>800</v>
      </c>
    </row>
    <row r="14" customFormat="false" ht="15" hidden="false" customHeight="false" outlineLevel="0" collapsed="false">
      <c r="A14" s="13" t="s">
        <v>223</v>
      </c>
      <c r="B14" s="2" t="n">
        <v>210</v>
      </c>
      <c r="C14" s="2" t="n">
        <v>10500</v>
      </c>
      <c r="D14" s="2" t="n">
        <v>5000</v>
      </c>
    </row>
    <row r="15" customFormat="false" ht="15" hidden="false" customHeight="false" outlineLevel="0" collapsed="false">
      <c r="A15" s="14" t="s">
        <v>224</v>
      </c>
      <c r="B15" s="3" t="n">
        <v>180</v>
      </c>
      <c r="C15" s="3" t="n">
        <v>16200</v>
      </c>
      <c r="D15" s="3" t="n">
        <v>9000</v>
      </c>
    </row>
    <row r="16" customFormat="false" ht="15" hidden="false" customHeight="false" outlineLevel="0" collapsed="false">
      <c r="A16" s="13" t="s">
        <v>225</v>
      </c>
      <c r="B16" s="2" t="n">
        <v>890</v>
      </c>
      <c r="C16" s="2" t="n">
        <v>2670</v>
      </c>
      <c r="D16" s="2" t="n">
        <v>300</v>
      </c>
    </row>
    <row r="17" customFormat="false" ht="15" hidden="false" customHeight="false" outlineLevel="0" collapsed="false">
      <c r="A17" s="14" t="s">
        <v>226</v>
      </c>
      <c r="B17" s="3" t="n">
        <v>900</v>
      </c>
      <c r="C17" s="3" t="n">
        <v>38250</v>
      </c>
      <c r="D17" s="3" t="n">
        <v>4250</v>
      </c>
    </row>
    <row r="19" customFormat="false" ht="15" hidden="false" customHeight="false" outlineLevel="0" collapsed="false">
      <c r="A19" s="6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1" t="s">
        <v>228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233</v>
      </c>
    </row>
    <row r="2" customFormat="false" ht="15" hidden="false" customHeight="false" outlineLevel="0" collapsed="false">
      <c r="A2" s="13" t="s">
        <v>234</v>
      </c>
      <c r="B2" s="2" t="s">
        <v>235</v>
      </c>
      <c r="C2" s="2" t="n">
        <v>129.3</v>
      </c>
      <c r="D2" s="2" t="n">
        <v>84</v>
      </c>
      <c r="E2" s="2" t="n">
        <v>2016</v>
      </c>
      <c r="F2" s="13" t="s">
        <v>236</v>
      </c>
    </row>
    <row r="3" customFormat="false" ht="15" hidden="false" customHeight="false" outlineLevel="0" collapsed="false">
      <c r="A3" s="14" t="s">
        <v>237</v>
      </c>
      <c r="B3" s="3" t="s">
        <v>238</v>
      </c>
      <c r="C3" s="3" t="n">
        <v>37.4</v>
      </c>
      <c r="D3" s="3" t="n">
        <v>58</v>
      </c>
      <c r="E3" s="3" t="n">
        <v>2020</v>
      </c>
      <c r="F3" s="14" t="s">
        <v>239</v>
      </c>
    </row>
    <row r="4" customFormat="false" ht="15" hidden="false" customHeight="false" outlineLevel="0" collapsed="false">
      <c r="A4" s="13" t="s">
        <v>240</v>
      </c>
      <c r="B4" s="2" t="s">
        <v>241</v>
      </c>
      <c r="C4" s="2" t="n">
        <v>180</v>
      </c>
      <c r="D4" s="2" t="n">
        <v>72</v>
      </c>
      <c r="E4" s="2" t="n">
        <v>2003</v>
      </c>
      <c r="F4" s="13" t="s">
        <v>242</v>
      </c>
    </row>
    <row r="5" customFormat="false" ht="15" hidden="false" customHeight="false" outlineLevel="0" collapsed="false">
      <c r="A5" s="14" t="s">
        <v>243</v>
      </c>
      <c r="B5" s="3" t="s">
        <v>244</v>
      </c>
      <c r="C5" s="3" t="n">
        <v>8.8</v>
      </c>
      <c r="D5" s="3" t="n">
        <v>12</v>
      </c>
      <c r="E5" s="3" t="n">
        <v>2017</v>
      </c>
      <c r="F5" s="14" t="s">
        <v>245</v>
      </c>
    </row>
    <row r="6" customFormat="false" ht="15" hidden="false" customHeight="false" outlineLevel="0" collapsed="false">
      <c r="A6" s="13" t="s">
        <v>246</v>
      </c>
      <c r="B6" s="2" t="s">
        <v>247</v>
      </c>
      <c r="C6" s="2" t="n">
        <v>4.2</v>
      </c>
      <c r="D6" s="2" t="n">
        <v>40</v>
      </c>
      <c r="E6" s="2" t="n">
        <v>2008</v>
      </c>
      <c r="F6" s="13" t="s">
        <v>248</v>
      </c>
    </row>
    <row r="7" customFormat="false" ht="15" hidden="false" customHeight="false" outlineLevel="0" collapsed="false">
      <c r="A7" s="14" t="s">
        <v>249</v>
      </c>
      <c r="B7" s="3" t="s">
        <v>250</v>
      </c>
      <c r="C7" s="3" t="n">
        <v>9.8</v>
      </c>
      <c r="D7" s="3" t="n">
        <v>55</v>
      </c>
      <c r="E7" s="3" t="n">
        <v>2017</v>
      </c>
      <c r="F7" s="14" t="s">
        <v>251</v>
      </c>
    </row>
    <row r="8" customFormat="false" ht="15" hidden="false" customHeight="false" outlineLevel="0" collapsed="false">
      <c r="A8" s="13" t="s">
        <v>252</v>
      </c>
      <c r="B8" s="2" t="s">
        <v>253</v>
      </c>
      <c r="C8" s="2" t="n">
        <v>1.2</v>
      </c>
      <c r="D8" s="2" t="n">
        <v>62</v>
      </c>
      <c r="E8" s="2" t="n">
        <v>2017</v>
      </c>
      <c r="F8" s="13" t="s">
        <v>254</v>
      </c>
    </row>
    <row r="9" customFormat="false" ht="15" hidden="false" customHeight="false" outlineLevel="0" collapsed="false">
      <c r="A9" s="14" t="s">
        <v>255</v>
      </c>
      <c r="B9" s="3" t="s">
        <v>256</v>
      </c>
      <c r="C9" s="3" t="n">
        <v>3.1</v>
      </c>
      <c r="D9" s="3" t="n">
        <v>15</v>
      </c>
      <c r="E9" s="3" t="n">
        <v>2017</v>
      </c>
      <c r="F9" s="14" t="s">
        <v>257</v>
      </c>
    </row>
    <row r="10" customFormat="false" ht="15" hidden="false" customHeight="false" outlineLevel="0" collapsed="false">
      <c r="A10" s="13" t="s">
        <v>258</v>
      </c>
      <c r="B10" s="2" t="s">
        <v>259</v>
      </c>
      <c r="C10" s="2" t="n">
        <v>1.1</v>
      </c>
      <c r="D10" s="2" t="n">
        <v>35</v>
      </c>
      <c r="E10" s="2" t="n">
        <v>2018</v>
      </c>
      <c r="F10" s="13" t="s">
        <v>260</v>
      </c>
    </row>
    <row r="11" customFormat="false" ht="15" hidden="false" customHeight="false" outlineLevel="0" collapsed="false">
      <c r="A11" s="14" t="s">
        <v>261</v>
      </c>
      <c r="B11" s="3" t="s">
        <v>262</v>
      </c>
      <c r="C11" s="3" t="n">
        <v>0.8</v>
      </c>
      <c r="D11" s="3" t="n">
        <v>28</v>
      </c>
      <c r="E11" s="3" t="n">
        <v>2018</v>
      </c>
      <c r="F11" s="14" t="s">
        <v>263</v>
      </c>
    </row>
    <row r="12" customFormat="false" ht="15" hidden="false" customHeight="false" outlineLevel="0" collapsed="false">
      <c r="A12" s="13" t="s">
        <v>264</v>
      </c>
      <c r="B12" s="2" t="s">
        <v>265</v>
      </c>
      <c r="C12" s="2" t="n">
        <v>2.1</v>
      </c>
      <c r="D12" s="2" t="n">
        <v>45</v>
      </c>
      <c r="E12" s="2" t="n">
        <v>2018</v>
      </c>
      <c r="F12" s="13" t="s">
        <v>266</v>
      </c>
    </row>
    <row r="14" customFormat="false" ht="15" hidden="false" customHeight="false" outlineLevel="0" collapsed="false">
      <c r="A14" s="6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2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1" t="s">
        <v>268</v>
      </c>
      <c r="B1" s="1" t="s">
        <v>269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</row>
    <row r="2" customFormat="false" ht="15" hidden="false" customHeight="false" outlineLevel="0" collapsed="false">
      <c r="A2" s="13" t="s">
        <v>275</v>
      </c>
      <c r="B2" s="2" t="n">
        <v>95</v>
      </c>
      <c r="C2" s="2" t="n">
        <v>72</v>
      </c>
      <c r="D2" s="2" t="n">
        <v>45</v>
      </c>
      <c r="E2" s="2" t="n">
        <v>4.2</v>
      </c>
      <c r="F2" s="13" t="s">
        <v>276</v>
      </c>
      <c r="G2" s="2" t="n">
        <v>91</v>
      </c>
    </row>
    <row r="3" customFormat="false" ht="15" hidden="false" customHeight="false" outlineLevel="0" collapsed="false">
      <c r="A3" s="14" t="s">
        <v>277</v>
      </c>
      <c r="B3" s="3" t="n">
        <v>91</v>
      </c>
      <c r="C3" s="3" t="n">
        <v>68</v>
      </c>
      <c r="D3" s="3" t="n">
        <v>40</v>
      </c>
      <c r="E3" s="3" t="n">
        <v>3.8</v>
      </c>
      <c r="F3" s="14" t="s">
        <v>276</v>
      </c>
      <c r="G3" s="3" t="n">
        <v>89</v>
      </c>
    </row>
    <row r="4" customFormat="false" ht="15" hidden="false" customHeight="false" outlineLevel="0" collapsed="false">
      <c r="A4" s="13" t="s">
        <v>278</v>
      </c>
      <c r="B4" s="2" t="n">
        <v>78</v>
      </c>
      <c r="C4" s="2" t="n">
        <v>55</v>
      </c>
      <c r="D4" s="2" t="n">
        <v>30</v>
      </c>
      <c r="E4" s="2" t="n">
        <v>2.9</v>
      </c>
      <c r="F4" s="13" t="s">
        <v>276</v>
      </c>
      <c r="G4" s="2" t="n">
        <v>85</v>
      </c>
    </row>
    <row r="5" customFormat="false" ht="15" hidden="false" customHeight="false" outlineLevel="0" collapsed="false">
      <c r="A5" s="14" t="s">
        <v>279</v>
      </c>
      <c r="B5" s="3" t="n">
        <v>62</v>
      </c>
      <c r="C5" s="3" t="n">
        <v>41</v>
      </c>
      <c r="D5" s="3" t="n">
        <v>18</v>
      </c>
      <c r="E5" s="3" t="n">
        <v>2.1</v>
      </c>
      <c r="F5" s="14" t="s">
        <v>280</v>
      </c>
      <c r="G5" s="3" t="n">
        <v>81</v>
      </c>
    </row>
    <row r="6" customFormat="false" ht="15" hidden="false" customHeight="false" outlineLevel="0" collapsed="false">
      <c r="A6" s="13" t="s">
        <v>281</v>
      </c>
      <c r="B6" s="2" t="n">
        <v>45</v>
      </c>
      <c r="C6" s="2" t="n">
        <v>28</v>
      </c>
      <c r="D6" s="2" t="n">
        <v>10</v>
      </c>
      <c r="E6" s="2" t="n">
        <v>1.5</v>
      </c>
      <c r="F6" s="13" t="s">
        <v>282</v>
      </c>
      <c r="G6" s="2" t="n">
        <v>74</v>
      </c>
    </row>
    <row r="7" customFormat="false" ht="15" hidden="false" customHeight="false" outlineLevel="0" collapsed="false">
      <c r="A7" s="14" t="s">
        <v>283</v>
      </c>
      <c r="B7" s="3" t="n">
        <v>28</v>
      </c>
      <c r="C7" s="3" t="n">
        <v>14</v>
      </c>
      <c r="D7" s="3" t="n">
        <v>4</v>
      </c>
      <c r="E7" s="3" t="n">
        <v>0.9</v>
      </c>
      <c r="F7" s="14" t="s">
        <v>284</v>
      </c>
      <c r="G7" s="3" t="n">
        <v>68</v>
      </c>
    </row>
    <row r="8" customFormat="false" ht="15" hidden="false" customHeight="false" outlineLevel="0" collapsed="false">
      <c r="A8" s="13" t="s">
        <v>285</v>
      </c>
      <c r="B8" s="2" t="n">
        <v>12</v>
      </c>
      <c r="C8" s="2" t="n">
        <v>5</v>
      </c>
      <c r="D8" s="2" t="n">
        <v>1</v>
      </c>
      <c r="E8" s="2" t="n">
        <v>0.5</v>
      </c>
      <c r="F8" s="13" t="s">
        <v>286</v>
      </c>
      <c r="G8" s="2" t="n">
        <v>58</v>
      </c>
    </row>
    <row r="10" customFormat="false" ht="15" hidden="false" customHeight="false" outlineLevel="0" collapsed="false">
      <c r="A10" s="6" t="s">
        <v>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5" t="s">
        <v>288</v>
      </c>
    </row>
    <row r="2" customFormat="false" ht="15" hidden="false" customHeight="false" outlineLevel="0" collapsed="false">
      <c r="A2" s="16"/>
    </row>
    <row r="3" customFormat="false" ht="15" hidden="false" customHeight="false" outlineLevel="0" collapsed="false">
      <c r="A3" s="17" t="s">
        <v>289</v>
      </c>
      <c r="B3" s="18" t="s">
        <v>290</v>
      </c>
    </row>
    <row r="4" customFormat="false" ht="15" hidden="false" customHeight="false" outlineLevel="0" collapsed="false">
      <c r="A4" s="16" t="s">
        <v>291</v>
      </c>
      <c r="B4" s="18" t="s">
        <v>292</v>
      </c>
    </row>
    <row r="5" customFormat="false" ht="15" hidden="false" customHeight="false" outlineLevel="0" collapsed="false">
      <c r="A5" s="16" t="s">
        <v>293</v>
      </c>
      <c r="B5" s="18" t="s">
        <v>294</v>
      </c>
    </row>
    <row r="6" customFormat="false" ht="15" hidden="false" customHeight="false" outlineLevel="0" collapsed="false">
      <c r="A6" s="16" t="s">
        <v>295</v>
      </c>
      <c r="B6" s="18" t="s">
        <v>296</v>
      </c>
    </row>
    <row r="7" customFormat="false" ht="15" hidden="false" customHeight="false" outlineLevel="0" collapsed="false">
      <c r="A7" s="16" t="s">
        <v>297</v>
      </c>
      <c r="B7" s="18" t="s">
        <v>298</v>
      </c>
    </row>
    <row r="8" customFormat="false" ht="15" hidden="false" customHeight="false" outlineLevel="0" collapsed="false">
      <c r="A8" s="16" t="s">
        <v>299</v>
      </c>
      <c r="B8" s="18" t="s">
        <v>300</v>
      </c>
    </row>
    <row r="9" customFormat="false" ht="15" hidden="false" customHeight="false" outlineLevel="0" collapsed="false">
      <c r="A9" s="16" t="s">
        <v>301</v>
      </c>
      <c r="B9" s="18" t="s">
        <v>302</v>
      </c>
    </row>
    <row r="10" customFormat="false" ht="15" hidden="false" customHeight="false" outlineLevel="0" collapsed="false">
      <c r="A10" s="16" t="s">
        <v>303</v>
      </c>
      <c r="B10" s="18" t="s">
        <v>304</v>
      </c>
    </row>
    <row r="11" customFormat="false" ht="15" hidden="false" customHeight="false" outlineLevel="0" collapsed="false">
      <c r="A11" s="16" t="s">
        <v>305</v>
      </c>
      <c r="B11" s="18" t="s">
        <v>306</v>
      </c>
    </row>
    <row r="12" customFormat="false" ht="15" hidden="false" customHeight="false" outlineLevel="0" collapsed="false">
      <c r="A12" s="16" t="s">
        <v>307</v>
      </c>
      <c r="B12" s="18" t="s">
        <v>308</v>
      </c>
    </row>
    <row r="13" customFormat="false" ht="15" hidden="false" customHeight="false" outlineLevel="0" collapsed="false">
      <c r="A13" s="16"/>
    </row>
    <row r="14" customFormat="false" ht="15" hidden="false" customHeight="false" outlineLevel="0" collapsed="false">
      <c r="A14" s="17" t="s">
        <v>309</v>
      </c>
    </row>
    <row r="15" customFormat="false" ht="15" hidden="false" customHeight="false" outlineLevel="0" collapsed="false">
      <c r="A15" s="16" t="s">
        <v>310</v>
      </c>
    </row>
    <row r="16" customFormat="false" ht="15" hidden="false" customHeight="false" outlineLevel="0" collapsed="false">
      <c r="A16" s="16" t="s">
        <v>311</v>
      </c>
    </row>
    <row r="17" customFormat="false" ht="15" hidden="false" customHeight="false" outlineLevel="0" collapsed="false">
      <c r="A17" s="16" t="s">
        <v>312</v>
      </c>
    </row>
    <row r="18" customFormat="false" ht="15" hidden="false" customHeight="false" outlineLevel="0" collapsed="false">
      <c r="A18" s="16" t="s">
        <v>313</v>
      </c>
    </row>
    <row r="19" customFormat="false" ht="15" hidden="false" customHeight="false" outlineLevel="0" collapsed="false">
      <c r="A19" s="16" t="s">
        <v>314</v>
      </c>
    </row>
    <row r="20" customFormat="false" ht="15" hidden="false" customHeight="false" outlineLevel="0" collapsed="false">
      <c r="A20" s="16" t="s">
        <v>315</v>
      </c>
    </row>
    <row r="21" customFormat="false" ht="15" hidden="false" customHeight="false" outlineLevel="0" collapsed="false">
      <c r="A21" s="16" t="s">
        <v>316</v>
      </c>
    </row>
    <row r="22" customFormat="false" ht="15" hidden="false" customHeight="false" outlineLevel="0" collapsed="false">
      <c r="A22" s="16" t="s">
        <v>317</v>
      </c>
    </row>
    <row r="23" customFormat="false" ht="15" hidden="false" customHeight="false" outlineLevel="0" collapsed="false">
      <c r="A23" s="16"/>
    </row>
    <row r="24" customFormat="false" ht="15" hidden="false" customHeight="false" outlineLevel="0" collapsed="false">
      <c r="A24" s="19" t="s">
        <v>318</v>
      </c>
      <c r="B24" s="18" t="s">
        <v>319</v>
      </c>
    </row>
    <row r="25" customFormat="false" ht="15" hidden="false" customHeight="false" outlineLevel="0" collapsed="false">
      <c r="A25" s="19"/>
      <c r="B25" s="18" t="s">
        <v>320</v>
      </c>
    </row>
    <row r="26" customFormat="false" ht="15" hidden="false" customHeight="false" outlineLevel="0" collapsed="false">
      <c r="A26" s="16" t="s">
        <v>321</v>
      </c>
      <c r="B26" s="18" t="s">
        <v>322</v>
      </c>
    </row>
    <row r="27" customFormat="false" ht="15" hidden="false" customHeight="false" outlineLevel="0" collapsed="false">
      <c r="A27" s="16"/>
      <c r="B27" s="18" t="s">
        <v>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2026-04-14T06:03:10Z</dcterms:created>
  <dc:creator>openpyxl</dc:creator>
  <dc:description/>
  <dc:language>en-US</dc:language>
  <cp:lastModifiedBy/>
  <dcterms:modified xsi:type="dcterms:W3CDTF">2026-04-14T06:03:10Z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